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普通强化预览" sheetId="1" state="visible" r:id="rId1"/>
    <sheet xmlns:r="http://schemas.openxmlformats.org/officeDocument/2006/relationships" name="普通门" sheetId="2" state="visible" r:id="rId2"/>
    <sheet xmlns:r="http://schemas.openxmlformats.org/officeDocument/2006/relationships" name="食客奖励" sheetId="3" state="visible" r:id="rId3"/>
    <sheet xmlns:r="http://schemas.openxmlformats.org/officeDocument/2006/relationships" name="配置" sheetId="4" state="visible" r:id="rId4"/>
    <sheet xmlns:r="http://schemas.openxmlformats.org/officeDocument/2006/relationships" name="说明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Microsoft YaHei"/>
      <charset val="134"/>
      <family val="2"/>
      <b val="1"/>
      <color rgb="FFFFFFFF"/>
      <sz val="18"/>
    </font>
    <font>
      <name val="Microsoft YaHei"/>
      <charset val="134"/>
      <family val="2"/>
      <color rgb="FF243238"/>
      <sz val="10"/>
    </font>
    <font>
      <name val="Microsoft YaHei"/>
      <charset val="134"/>
      <family val="2"/>
      <b val="1"/>
      <color rgb="FFFFFFFF"/>
      <sz val="11"/>
    </font>
    <font>
      <name val="Microsoft YaHei"/>
      <charset val="134"/>
      <family val="2"/>
      <b val="1"/>
      <color rgb="FFFFFFFF"/>
      <sz val="10"/>
    </font>
    <font>
      <name val="Carlito"/>
      <sz val="11"/>
    </font>
    <font>
      <name val="宋体"/>
      <charset val="134"/>
      <family val="3"/>
      <sz val="9"/>
    </font>
    <font>
      <name val="Carlito"/>
      <b val="1"/>
      <color rgb="FFFFFFFF"/>
      <sz val="16"/>
    </font>
    <font>
      <name val="Carlito"/>
      <color rgb="FF334E56"/>
      <sz val="11"/>
    </font>
    <font>
      <name val="Carlito"/>
      <b val="1"/>
      <color rgb="FFFFFFFF"/>
      <sz val="11"/>
    </font>
    <font>
      <name val="Carlito"/>
      <b val="1"/>
      <sz val="11"/>
    </font>
  </fonts>
  <fills count="14">
    <fill>
      <patternFill/>
    </fill>
    <fill>
      <patternFill patternType="gray125"/>
    </fill>
    <fill>
      <patternFill patternType="solid">
        <fgColor rgb="FF24323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E7F0F8"/>
      </patternFill>
    </fill>
    <fill>
      <patternFill patternType="solid">
        <fgColor rgb="FFE8F3EC"/>
      </patternFill>
    </fill>
    <fill>
      <patternFill patternType="solid">
        <fgColor rgb="FFFFF3CD"/>
      </patternFill>
    </fill>
    <fill>
      <patternFill patternType="solid">
        <fgColor rgb="FF20343B"/>
      </patternFill>
    </fill>
    <fill>
      <patternFill patternType="solid">
        <fgColor rgb="FFE8F1F2"/>
      </patternFill>
    </fill>
    <fill>
      <patternFill patternType="solid">
        <fgColor rgb="FFE8F3EC"/>
      </patternFill>
    </fill>
    <fill>
      <patternFill patternType="solid">
        <fgColor rgb="FFD9EEF7"/>
      </patternFill>
    </fill>
    <fill>
      <patternFill patternType="solid">
        <fgColor rgb="FF317C73"/>
      </patternFill>
    </fill>
    <fill>
      <patternFill patternType="solid">
        <fgColor rgb="FFEEF4F7"/>
      </patternFill>
    </fill>
  </fills>
  <borders count="5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 style="thin">
        <color rgb="FFC7D2D6"/>
      </left>
      <right style="thin">
        <color rgb="FFC7D2D6"/>
      </right>
      <top style="thin">
        <color rgb="FFC7D2D6"/>
      </top>
      <bottom style="thin">
        <color rgb="FFC7D2D6"/>
      </bottom>
      <diagonal/>
    </border>
  </borders>
  <cellStyleXfs count="2">
    <xf numFmtId="0" fontId="5" fillId="0" borderId="0"/>
    <xf numFmtId="0" fontId="5" fillId="0" borderId="0"/>
  </cellStyleXfs>
  <cellXfs count="45">
    <xf numFmtId="0" fontId="0" fillId="0" borderId="0" pivotButton="0" quotePrefix="0" xfId="0"/>
    <xf numFmtId="0" fontId="4" fillId="2" borderId="0" applyAlignment="1" pivotButton="0" quotePrefix="0" xfId="1">
      <alignment horizontal="center" vertical="center" wrapText="1"/>
    </xf>
    <xf numFmtId="0" fontId="2" fillId="0" borderId="1" applyAlignment="1" pivotButton="0" quotePrefix="0" xfId="1">
      <alignment vertical="center"/>
    </xf>
    <xf numFmtId="0" fontId="2" fillId="0" borderId="3" applyAlignment="1" pivotButton="0" quotePrefix="0" xfId="1">
      <alignment vertical="center"/>
    </xf>
    <xf numFmtId="0" fontId="2" fillId="5" borderId="1" applyAlignment="1" pivotButton="0" quotePrefix="0" xfId="1">
      <alignment vertical="center"/>
    </xf>
    <xf numFmtId="0" fontId="2" fillId="5" borderId="2" applyAlignment="1" pivotButton="0" quotePrefix="0" xfId="1">
      <alignment vertical="center"/>
    </xf>
    <xf numFmtId="0" fontId="2" fillId="5" borderId="3" applyAlignment="1" pivotButton="0" quotePrefix="0" xfId="1">
      <alignment vertical="center"/>
    </xf>
    <xf numFmtId="0" fontId="2" fillId="5" borderId="1" applyAlignment="1" pivotButton="0" quotePrefix="0" xfId="1">
      <alignment vertical="center" wrapText="1"/>
    </xf>
    <xf numFmtId="0" fontId="2" fillId="5" borderId="2" applyAlignment="1" pivotButton="0" quotePrefix="0" xfId="1">
      <alignment vertical="center" wrapText="1"/>
    </xf>
    <xf numFmtId="0" fontId="2" fillId="5" borderId="3" applyAlignment="1" pivotButton="0" quotePrefix="0" xfId="1">
      <alignment vertical="center" wrapText="1"/>
    </xf>
    <xf numFmtId="0" fontId="2" fillId="6" borderId="1" applyAlignment="1" pivotButton="0" quotePrefix="0" xfId="1">
      <alignment vertical="center"/>
    </xf>
    <xf numFmtId="0" fontId="2" fillId="6" borderId="2" applyAlignment="1" pivotButton="0" quotePrefix="0" xfId="1">
      <alignment vertical="center"/>
    </xf>
    <xf numFmtId="0" fontId="2" fillId="6" borderId="3" applyAlignment="1" pivotButton="0" quotePrefix="0" xfId="1">
      <alignment vertical="center"/>
    </xf>
    <xf numFmtId="0" fontId="2" fillId="7" borderId="1" applyAlignment="1" pivotButton="0" quotePrefix="0" xfId="1">
      <alignment vertical="center"/>
    </xf>
    <xf numFmtId="0" fontId="2" fillId="7" borderId="2" applyAlignment="1" pivotButton="0" quotePrefix="0" xfId="1">
      <alignment vertical="center"/>
    </xf>
    <xf numFmtId="0" fontId="2" fillId="7" borderId="3" applyAlignment="1" pivotButton="0" quotePrefix="0" xfId="1">
      <alignment vertical="center"/>
    </xf>
    <xf numFmtId="0" fontId="2" fillId="7" borderId="1" applyAlignment="1" pivotButton="0" quotePrefix="0" xfId="1">
      <alignment vertical="center" wrapText="1"/>
    </xf>
    <xf numFmtId="0" fontId="2" fillId="7" borderId="2" applyAlignment="1" pivotButton="0" quotePrefix="0" xfId="1">
      <alignment vertical="center" wrapText="1"/>
    </xf>
    <xf numFmtId="0" fontId="2" fillId="7" borderId="3" applyAlignment="1" pivotButton="0" quotePrefix="0" xfId="1">
      <alignment vertical="center" wrapText="1"/>
    </xf>
    <xf numFmtId="9" fontId="2" fillId="7" borderId="1" applyAlignment="1" pivotButton="0" quotePrefix="0" xfId="1">
      <alignment vertical="center"/>
    </xf>
    <xf numFmtId="9" fontId="2" fillId="7" borderId="2" applyAlignment="1" pivotButton="0" quotePrefix="0" xfId="1">
      <alignment vertical="center"/>
    </xf>
    <xf numFmtId="2" fontId="2" fillId="7" borderId="2" applyAlignment="1" pivotButton="0" quotePrefix="0" xfId="1">
      <alignment vertical="center"/>
    </xf>
    <xf numFmtId="9" fontId="2" fillId="7" borderId="3" applyAlignment="1" pivotButton="0" quotePrefix="0" xfId="1">
      <alignment vertical="center"/>
    </xf>
    <xf numFmtId="0" fontId="2" fillId="0" borderId="1" applyAlignment="1" pivotButton="0" quotePrefix="0" xfId="1">
      <alignment vertical="center" wrapText="1"/>
    </xf>
    <xf numFmtId="0" fontId="2" fillId="0" borderId="2" applyAlignment="1" pivotButton="0" quotePrefix="0" xfId="1">
      <alignment vertical="center" wrapText="1"/>
    </xf>
    <xf numFmtId="0" fontId="2" fillId="0" borderId="3" applyAlignment="1" pivotButton="0" quotePrefix="0" xfId="1">
      <alignment vertical="center" wrapText="1"/>
    </xf>
    <xf numFmtId="10" fontId="2" fillId="5" borderId="1" applyAlignment="1" pivotButton="0" quotePrefix="0" xfId="0">
      <alignment vertical="center"/>
    </xf>
    <xf numFmtId="10" fontId="2" fillId="5" borderId="2" applyAlignment="1" pivotButton="0" quotePrefix="0" xfId="0">
      <alignment vertical="center"/>
    </xf>
    <xf numFmtId="2" fontId="2" fillId="5" borderId="2" applyAlignment="1" pivotButton="0" quotePrefix="0" xfId="0">
      <alignment vertical="center"/>
    </xf>
    <xf numFmtId="10" fontId="2" fillId="5" borderId="3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9" fillId="8" borderId="4" applyAlignment="1" pivotButton="0" quotePrefix="0" xfId="0">
      <alignment vertical="center"/>
    </xf>
    <xf numFmtId="0" fontId="10" fillId="10" borderId="4" applyAlignment="1" pivotButton="0" quotePrefix="0" xfId="0">
      <alignment vertical="center"/>
    </xf>
    <xf numFmtId="0" fontId="0" fillId="11" borderId="4" applyAlignment="1" pivotButton="0" quotePrefix="0" xfId="0">
      <alignment vertical="center"/>
    </xf>
    <xf numFmtId="0" fontId="0" fillId="10" borderId="4" applyAlignment="1" pivotButton="0" quotePrefix="0" xfId="0">
      <alignment vertical="center"/>
    </xf>
    <xf numFmtId="10" fontId="0" fillId="13" borderId="4" applyAlignment="1" pivotButton="0" quotePrefix="0" xfId="0">
      <alignment vertical="center"/>
    </xf>
    <xf numFmtId="0" fontId="0" fillId="13" borderId="4" applyAlignment="1" pivotButton="0" quotePrefix="0" xfId="0">
      <alignment vertical="center"/>
    </xf>
    <xf numFmtId="2" fontId="0" fillId="13" borderId="4" applyAlignment="1" pivotButton="0" quotePrefix="0" xfId="0">
      <alignment vertical="center"/>
    </xf>
    <xf numFmtId="0" fontId="1" fillId="2" borderId="0" applyAlignment="1" pivotButton="0" quotePrefix="0" xfId="1">
      <alignment vertical="center"/>
    </xf>
    <xf numFmtId="0" fontId="0" fillId="0" borderId="0" pivotButton="0" quotePrefix="0" xfId="0"/>
    <xf numFmtId="0" fontId="3" fillId="4" borderId="0" applyAlignment="1" pivotButton="0" quotePrefix="0" xfId="1">
      <alignment vertical="center"/>
    </xf>
    <xf numFmtId="0" fontId="2" fillId="3" borderId="0" applyAlignment="1" pivotButton="0" quotePrefix="0" xfId="1">
      <alignment vertical="center" wrapText="1"/>
    </xf>
    <xf numFmtId="0" fontId="7" fillId="8" borderId="0" applyAlignment="1" pivotButton="0" quotePrefix="0" xfId="0">
      <alignment vertical="center"/>
    </xf>
    <xf numFmtId="0" fontId="8" fillId="9" borderId="0" applyAlignment="1" pivotButton="0" quotePrefix="0" xfId="0">
      <alignment vertical="center" wrapText="1"/>
    </xf>
    <xf numFmtId="0" fontId="9" fillId="12" borderId="0" applyAlignment="1" pivotButton="0" quotePrefix="0" xfId="0">
      <alignment vertical="center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NormalGateUpgradeTable" displayName="NormalGateUpgradeTable" ref="A1:H9" headerRowCount="1" totalsRowShown="0">
  <tableColumns count="8">
    <tableColumn id="1" name="强化ID"/>
    <tableColumn id="2" name="显示名称"/>
    <tableColumn id="3" name="类型"/>
    <tableColumn id="4" name="最小值"/>
    <tableColumn id="5" name="最大值"/>
    <tableColumn id="6" name="显示后缀"/>
    <tableColumn id="7" name="门牌描述模板"/>
    <tableColumn id="8" name="启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xiaochuxi_normal_upgrades_config" displayName="xiaochuxi_normal_upgrades_config" ref="A1:C3" headerRowCount="1" totalsRowShown="0">
  <tableColumns count="3">
    <tableColumn id="1" name="参数ID"/>
    <tableColumn id="2" name="数值"/>
    <tableColumn id="3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NormalUpgradeNotesTable" displayName="NormalUpgradeNotesTable" ref="A1:B6" headerRowCount="1" totalsRowShown="0">
  <tableColumns count="2">
    <tableColumn id="1" name="项目"/>
    <tableColumn id="2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:J1"/>
    </sheetView>
  </sheetViews>
  <sheetFormatPr baseColWidth="8" defaultRowHeight="13.8"/>
  <cols>
    <col width="18" customWidth="1" style="39" min="1" max="2"/>
    <col width="13" customWidth="1" style="39" min="3" max="3"/>
    <col width="14" customWidth="1" style="39" min="4" max="6"/>
    <col width="13" customWidth="1" style="39" min="7" max="7"/>
    <col width="12" customWidth="1" style="39" min="8" max="8"/>
    <col width="11" customWidth="1" style="39" min="9" max="9"/>
    <col width="52" customWidth="1" style="39" min="10" max="10"/>
  </cols>
  <sheetData>
    <row r="1" ht="37.95" customHeight="1" s="39">
      <c r="A1" s="38" t="inlineStr">
        <is>
          <t>小厨西 · 普通强化预览</t>
        </is>
      </c>
    </row>
    <row r="2">
      <c r="A2" s="41" t="inlineStr">
        <is>
          <t>普通门与食客奖励共用“普通门”工作表中的启用候选。普通门随机无放回抽 2 项，食客奖励随机抽 1 项；抽中后各自独立生成数值百分位。</t>
        </is>
      </c>
    </row>
    <row r="3"/>
    <row r="5" ht="28.05" customHeight="1" s="39">
      <c r="A5" s="40" t="inlineStr">
        <is>
          <t>普通门 / 食客奖励共用候选池</t>
        </is>
      </c>
    </row>
    <row r="6" ht="30" customHeight="1" s="39">
      <c r="A6" s="1" t="inlineStr">
        <is>
          <t>强化</t>
        </is>
      </c>
      <c r="B6" s="1" t="inlineStr">
        <is>
          <t>类型</t>
        </is>
      </c>
      <c r="C6" s="1" t="inlineStr">
        <is>
          <t>最小</t>
        </is>
      </c>
      <c r="D6" s="1" t="inlineStr">
        <is>
          <t>25%分位</t>
        </is>
      </c>
      <c r="E6" s="1" t="inlineStr">
        <is>
          <t>50%分位</t>
        </is>
      </c>
      <c r="F6" s="1" t="inlineStr">
        <is>
          <t>75%分位</t>
        </is>
      </c>
      <c r="G6" s="1" t="inlineStr">
        <is>
          <t>最大</t>
        </is>
      </c>
      <c r="H6" s="1" t="inlineStr">
        <is>
          <t>后缀</t>
        </is>
      </c>
      <c r="I6" s="1" t="inlineStr">
        <is>
          <t>启用</t>
        </is>
      </c>
      <c r="J6" s="1" t="inlineStr">
        <is>
          <t>门牌描述模板</t>
        </is>
      </c>
    </row>
    <row r="7" ht="15" customHeight="1" s="39">
      <c r="A7" s="4">
        <f>普通门!B2</f>
        <v/>
      </c>
      <c r="B7" s="4">
        <f>普通门!C2</f>
        <v/>
      </c>
      <c r="C7" s="26">
        <f>普通门!D2</f>
        <v/>
      </c>
      <c r="D7" s="26">
        <f>C7+(G7-C7)*25%</f>
        <v/>
      </c>
      <c r="E7" s="26">
        <f>C7+(G7-C7)*50%</f>
        <v/>
      </c>
      <c r="F7" s="26">
        <f>C7+(G7-C7)*75%</f>
        <v/>
      </c>
      <c r="G7" s="26">
        <f>普通门!E2</f>
        <v/>
      </c>
      <c r="H7" s="4">
        <f>普通门!F2</f>
        <v/>
      </c>
      <c r="I7" s="4">
        <f>普通门!H2</f>
        <v/>
      </c>
      <c r="J7" s="7">
        <f>普通门!G2</f>
        <v/>
      </c>
    </row>
    <row r="8" ht="15" customHeight="1" s="39">
      <c r="A8" s="5">
        <f>普通门!B3</f>
        <v/>
      </c>
      <c r="B8" s="5">
        <f>普通门!C3</f>
        <v/>
      </c>
      <c r="C8" s="27">
        <f>普通门!D3</f>
        <v/>
      </c>
      <c r="D8" s="27">
        <f>C8+(G8-C8)*25%</f>
        <v/>
      </c>
      <c r="E8" s="27">
        <f>C8+(G8-C8)*50%</f>
        <v/>
      </c>
      <c r="F8" s="27">
        <f>C8+(G8-C8)*75%</f>
        <v/>
      </c>
      <c r="G8" s="27">
        <f>普通门!E3</f>
        <v/>
      </c>
      <c r="H8" s="5">
        <f>普通门!F3</f>
        <v/>
      </c>
      <c r="I8" s="5">
        <f>普通门!H3</f>
        <v/>
      </c>
      <c r="J8" s="8">
        <f>普通门!G3</f>
        <v/>
      </c>
    </row>
    <row r="9" ht="15" customHeight="1" s="39">
      <c r="A9" s="5">
        <f>普通门!B4</f>
        <v/>
      </c>
      <c r="B9" s="5">
        <f>普通门!C4</f>
        <v/>
      </c>
      <c r="C9" s="28">
        <f>普通门!D4</f>
        <v/>
      </c>
      <c r="D9" s="28">
        <f>C9+(G9-C9)*25%</f>
        <v/>
      </c>
      <c r="E9" s="28">
        <f>C9+(G9-C9)*50%</f>
        <v/>
      </c>
      <c r="F9" s="28">
        <f>C9+(G9-C9)*75%</f>
        <v/>
      </c>
      <c r="G9" s="28">
        <f>普通门!E4</f>
        <v/>
      </c>
      <c r="H9" s="5">
        <f>普通门!F4</f>
        <v/>
      </c>
      <c r="I9" s="5">
        <f>普通门!H4</f>
        <v/>
      </c>
      <c r="J9" s="8">
        <f>普通门!G4</f>
        <v/>
      </c>
    </row>
    <row r="10" ht="15" customHeight="1" s="39">
      <c r="A10" s="5">
        <f>普通门!B5</f>
        <v/>
      </c>
      <c r="B10" s="5">
        <f>普通门!C5</f>
        <v/>
      </c>
      <c r="C10" s="28">
        <f>普通门!D5</f>
        <v/>
      </c>
      <c r="D10" s="28">
        <f>C10+(G10-C10)*25%</f>
        <v/>
      </c>
      <c r="E10" s="28">
        <f>C10+(G10-C10)*50%</f>
        <v/>
      </c>
      <c r="F10" s="28">
        <f>C10+(G10-C10)*75%</f>
        <v/>
      </c>
      <c r="G10" s="28">
        <f>普通门!E5</f>
        <v/>
      </c>
      <c r="H10" s="5">
        <f>普通门!F5</f>
        <v/>
      </c>
      <c r="I10" s="5">
        <f>普通门!H5</f>
        <v/>
      </c>
      <c r="J10" s="8">
        <f>普通门!G5</f>
        <v/>
      </c>
    </row>
    <row r="11" ht="15" customHeight="1" s="39">
      <c r="A11" s="5">
        <f>普通门!B6</f>
        <v/>
      </c>
      <c r="B11" s="5">
        <f>普通门!C6</f>
        <v/>
      </c>
      <c r="C11" s="27">
        <f>普通门!D6</f>
        <v/>
      </c>
      <c r="D11" s="27">
        <f>C11+(G11-C11)*25%</f>
        <v/>
      </c>
      <c r="E11" s="27">
        <f>C11+(G11-C11)*50%</f>
        <v/>
      </c>
      <c r="F11" s="27">
        <f>C11+(G11-C11)*75%</f>
        <v/>
      </c>
      <c r="G11" s="27">
        <f>普通门!E6</f>
        <v/>
      </c>
      <c r="H11" s="5">
        <f>普通门!F6</f>
        <v/>
      </c>
      <c r="I11" s="5">
        <f>普通门!H6</f>
        <v/>
      </c>
      <c r="J11" s="8">
        <f>普通门!G6</f>
        <v/>
      </c>
    </row>
    <row r="12" ht="15" customHeight="1" s="39">
      <c r="A12" s="5">
        <f>普通门!B7</f>
        <v/>
      </c>
      <c r="B12" s="5">
        <f>普通门!C7</f>
        <v/>
      </c>
      <c r="C12" s="27">
        <f>普通门!D7</f>
        <v/>
      </c>
      <c r="D12" s="27">
        <f>C12+(G12-C12)*25%</f>
        <v/>
      </c>
      <c r="E12" s="27">
        <f>C12+(G12-C12)*50%</f>
        <v/>
      </c>
      <c r="F12" s="27">
        <f>C12+(G12-C12)*75%</f>
        <v/>
      </c>
      <c r="G12" s="27">
        <f>普通门!E7</f>
        <v/>
      </c>
      <c r="H12" s="5">
        <f>普通门!F7</f>
        <v/>
      </c>
      <c r="I12" s="5">
        <f>普通门!H7</f>
        <v/>
      </c>
      <c r="J12" s="8">
        <f>普通门!G7</f>
        <v/>
      </c>
    </row>
    <row r="13" ht="15" customHeight="1" s="39">
      <c r="A13" s="5">
        <f>普通门!B8</f>
        <v/>
      </c>
      <c r="B13" s="5">
        <f>普通门!C8</f>
        <v/>
      </c>
      <c r="C13" s="27">
        <f>普通门!D8</f>
        <v/>
      </c>
      <c r="D13" s="27">
        <f>C13+(G13-C13)*25%</f>
        <v/>
      </c>
      <c r="E13" s="27">
        <f>C13+(G13-C13)*50%</f>
        <v/>
      </c>
      <c r="F13" s="27">
        <f>C13+(G13-C13)*75%</f>
        <v/>
      </c>
      <c r="G13" s="27">
        <f>普通门!E8</f>
        <v/>
      </c>
      <c r="H13" s="5">
        <f>普通门!F8</f>
        <v/>
      </c>
      <c r="I13" s="5">
        <f>普通门!H8</f>
        <v/>
      </c>
      <c r="J13" s="8">
        <f>普通门!G8</f>
        <v/>
      </c>
    </row>
    <row r="14" ht="15" customHeight="1" s="39">
      <c r="A14" s="6">
        <f>普通门!B9</f>
        <v/>
      </c>
      <c r="B14" s="6">
        <f>普通门!C9</f>
        <v/>
      </c>
      <c r="C14" s="29">
        <f>普通门!D9</f>
        <v/>
      </c>
      <c r="D14" s="29">
        <f>C14+(G14-C14)*25%</f>
        <v/>
      </c>
      <c r="E14" s="29">
        <f>C14+(G14-C14)*50%</f>
        <v/>
      </c>
      <c r="F14" s="29">
        <f>C14+(G14-C14)*75%</f>
        <v/>
      </c>
      <c r="G14" s="29">
        <f>普通门!E9</f>
        <v/>
      </c>
      <c r="H14" s="6">
        <f>普通门!F9</f>
        <v/>
      </c>
      <c r="I14" s="6">
        <f>普通门!H9</f>
        <v/>
      </c>
      <c r="J14" s="9">
        <f>普通门!G9</f>
        <v/>
      </c>
    </row>
    <row r="16" ht="28.05" customHeight="1" s="39"/>
    <row r="17" ht="30" customHeight="1" s="39"/>
    <row r="18" ht="15" customHeight="1" s="39"/>
    <row r="19" ht="15" customHeight="1" s="39"/>
    <row r="20" ht="15" customHeight="1" s="39"/>
    <row r="21" ht="15" customHeight="1" s="39"/>
    <row r="22" ht="15" customHeight="1" s="39"/>
    <row r="23" ht="15" customHeight="1" s="39"/>
    <row r="24" ht="15" customHeight="1" s="39"/>
    <row r="25" ht="15" customHeight="1" s="39"/>
  </sheetData>
  <mergeCells count="3">
    <mergeCell ref="A1:J1"/>
    <mergeCell ref="A2:J3"/>
    <mergeCell ref="A5:J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tabSelected="1" workbookViewId="0">
      <selection activeCell="G10" sqref="G10"/>
    </sheetView>
  </sheetViews>
  <sheetFormatPr baseColWidth="8" defaultRowHeight="13.8"/>
  <cols>
    <col width="20" customWidth="1" style="39" min="1" max="1"/>
    <col width="18" customWidth="1" style="39" min="2" max="3"/>
    <col width="14" customWidth="1" style="39" min="4" max="6"/>
    <col width="56" customWidth="1" style="39" min="7" max="7"/>
    <col width="10" customWidth="1" style="39" min="8" max="8"/>
  </cols>
  <sheetData>
    <row r="1" ht="30" customHeight="1" s="39">
      <c r="A1" s="1" t="inlineStr">
        <is>
          <t>强化ID</t>
        </is>
      </c>
      <c r="B1" s="1" t="inlineStr">
        <is>
          <t>显示名称</t>
        </is>
      </c>
      <c r="C1" s="1" t="inlineStr">
        <is>
          <t>类型</t>
        </is>
      </c>
      <c r="D1" s="1" t="inlineStr">
        <is>
          <t>最小值</t>
        </is>
      </c>
      <c r="E1" s="1" t="inlineStr">
        <is>
          <t>最大值</t>
        </is>
      </c>
      <c r="F1" s="1" t="inlineStr">
        <is>
          <t>显示后缀</t>
        </is>
      </c>
      <c r="G1" s="1" t="inlineStr">
        <is>
          <t>门牌描述模板</t>
        </is>
      </c>
      <c r="H1" s="1" t="inlineStr">
        <is>
          <t>启用</t>
        </is>
      </c>
    </row>
    <row r="2" ht="34.05" customHeight="1" s="39">
      <c r="A2" s="10" t="inlineStr">
        <is>
          <t>sugar</t>
        </is>
      </c>
      <c r="B2" s="10" t="inlineStr">
        <is>
          <t>糖</t>
        </is>
      </c>
      <c r="C2" s="10" t="inlineStr">
        <is>
          <t>sugar</t>
        </is>
      </c>
      <c r="D2" s="19" t="n">
        <v>0.05</v>
      </c>
      <c r="E2" s="19" t="n">
        <v>0.3</v>
      </c>
      <c r="F2" s="13" t="inlineStr">
        <is>
          <t>%</t>
        </is>
      </c>
      <c r="G2" s="16" t="inlineStr">
        <is>
          <t>饱腹度 {value}</t>
        </is>
      </c>
      <c r="H2" s="13" t="b">
        <v>1</v>
      </c>
    </row>
    <row r="3" ht="34.05" customHeight="1" s="39">
      <c r="A3" s="11" t="inlineStr">
        <is>
          <t>quick_prep</t>
        </is>
      </c>
      <c r="B3" s="11" t="inlineStr">
        <is>
          <t>快速备餐</t>
        </is>
      </c>
      <c r="C3" s="11" t="inlineStr">
        <is>
          <t>quick_prep</t>
        </is>
      </c>
      <c r="D3" s="20" t="n">
        <v>0.05</v>
      </c>
      <c r="E3" s="20" t="n">
        <v>0.3</v>
      </c>
      <c r="F3" s="14" t="inlineStr">
        <is>
          <t>%</t>
        </is>
      </c>
      <c r="G3" s="17" t="inlineStr">
        <is>
          <t>烹饪速度 {value}</t>
        </is>
      </c>
      <c r="H3" s="14" t="b">
        <v>1</v>
      </c>
    </row>
    <row r="4" ht="34.05" customHeight="1" s="39">
      <c r="A4" s="11" t="inlineStr">
        <is>
          <t>light_cart</t>
        </is>
      </c>
      <c r="B4" s="11" t="inlineStr">
        <is>
          <t>轻便餐车</t>
        </is>
      </c>
      <c r="C4" s="11" t="inlineStr">
        <is>
          <t>light_cart</t>
        </is>
      </c>
      <c r="D4" s="21" t="n">
        <v>50</v>
      </c>
      <c r="E4" s="21" t="n">
        <v>300</v>
      </c>
      <c r="F4" s="14" t="inlineStr">
        <is>
          <t>速度</t>
        </is>
      </c>
      <c r="G4" s="17" t="inlineStr">
        <is>
          <t>横向移速 {value}</t>
        </is>
      </c>
      <c r="H4" s="14" t="b">
        <v>1</v>
      </c>
    </row>
    <row r="5" ht="34.05" customHeight="1" s="39">
      <c r="A5" s="11" t="inlineStr">
        <is>
          <t>sturdy_cart</t>
        </is>
      </c>
      <c r="B5" s="11" t="inlineStr">
        <is>
          <t>餐车改造</t>
        </is>
      </c>
      <c r="C5" s="11" t="inlineStr">
        <is>
          <t>sturdy_cart</t>
        </is>
      </c>
      <c r="D5" s="20" t="n">
        <v>0.02</v>
      </c>
      <c r="E5" s="20" t="n">
        <v>0.11</v>
      </c>
      <c r="F5" s="14" t="inlineStr">
        <is>
          <t>%</t>
        </is>
      </c>
      <c r="G5" s="17" t="inlineStr">
        <is>
          <t>耐久上限 {sturdy_points}</t>
        </is>
      </c>
      <c r="H5" s="14" t="b">
        <v>1</v>
      </c>
    </row>
    <row r="6" ht="34.05" customHeight="1" s="39">
      <c r="A6" s="11" t="inlineStr">
        <is>
          <t>repair</t>
        </is>
      </c>
      <c r="B6" s="11" t="inlineStr">
        <is>
          <t>紧急维修</t>
        </is>
      </c>
      <c r="C6" s="11" t="inlineStr">
        <is>
          <t>repair</t>
        </is>
      </c>
      <c r="D6" s="20" t="n">
        <v>0.12</v>
      </c>
      <c r="E6" s="20" t="n">
        <v>0.55</v>
      </c>
      <c r="F6" s="14" t="inlineStr">
        <is>
          <t>%</t>
        </is>
      </c>
      <c r="G6" s="17" t="inlineStr">
        <is>
          <t>维修 {repair_points}</t>
        </is>
      </c>
      <c r="H6" s="14" t="b">
        <v>1</v>
      </c>
    </row>
    <row r="7" ht="34.05" customHeight="1" s="39">
      <c r="A7" s="11" t="inlineStr">
        <is>
          <t>wine</t>
        </is>
      </c>
      <c r="B7" s="11" t="inlineStr">
        <is>
          <t>酒</t>
        </is>
      </c>
      <c r="C7" s="11" t="inlineStr">
        <is>
          <t>wine</t>
        </is>
      </c>
      <c r="D7" s="20" t="n">
        <v>0.1</v>
      </c>
      <c r="E7" s="20" t="n">
        <v>0.5</v>
      </c>
      <c r="F7" s="14" t="inlineStr">
        <is>
          <t>%</t>
        </is>
      </c>
      <c r="G7" s="17" t="inlineStr">
        <is>
          <t>餐品飞行速度 {value}</t>
        </is>
      </c>
      <c r="H7" s="14" t="b">
        <v>1</v>
      </c>
    </row>
    <row r="8" ht="34.05" customHeight="1" s="39">
      <c r="A8" s="11" t="inlineStr">
        <is>
          <t>scallion</t>
        </is>
      </c>
      <c r="B8" s="11" t="inlineStr">
        <is>
          <t>葱</t>
        </is>
      </c>
      <c r="C8" s="11" t="inlineStr">
        <is>
          <t>scallion</t>
        </is>
      </c>
      <c r="D8" s="20" t="n">
        <v>0.1</v>
      </c>
      <c r="E8" s="20" t="n">
        <v>0.6</v>
      </c>
      <c r="F8" s="14" t="inlineStr">
        <is>
          <t>%</t>
        </is>
      </c>
      <c r="G8" s="17" t="inlineStr">
        <is>
          <t>餐品大小 {value}</t>
        </is>
      </c>
      <c r="H8" s="14" t="b">
        <v>1</v>
      </c>
    </row>
    <row r="9" ht="34.05" customHeight="1" s="39">
      <c r="A9" s="12" t="inlineStr">
        <is>
          <t>starch</t>
        </is>
      </c>
      <c r="B9" s="12" t="inlineStr">
        <is>
          <t>淀粉</t>
        </is>
      </c>
      <c r="C9" s="12" t="inlineStr">
        <is>
          <t>starch</t>
        </is>
      </c>
      <c r="D9" s="22" t="n">
        <v>0.15</v>
      </c>
      <c r="E9" s="22" t="n">
        <v>0.75</v>
      </c>
      <c r="F9" s="15" t="inlineStr">
        <is>
          <t>%</t>
        </is>
      </c>
      <c r="G9" s="18" t="inlineStr">
        <is>
          <t>餐品持续时间 {value}</t>
        </is>
      </c>
      <c r="H9" s="15" t="b">
        <v>1</v>
      </c>
    </row>
  </sheetData>
  <dataValidations count="2">
    <dataValidation sqref="C2:C9" showDropDown="0" showInputMessage="0" showErrorMessage="0" allowBlank="0" type="list">
      <formula1>"sugar,quick_prep,wine,scallion,starch,light_cart,sturdy_cart,repair"</formula1>
    </dataValidation>
    <dataValidation sqref="H2:H9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topLeftCell="A4" workbookViewId="0">
      <selection activeCell="A1" sqref="A1:H1"/>
    </sheetView>
  </sheetViews>
  <sheetFormatPr baseColWidth="8" defaultRowHeight="13.8"/>
  <cols>
    <col width="18" customWidth="1" style="39" min="1" max="1"/>
    <col width="22" customWidth="1" style="39" min="2" max="2"/>
    <col width="18" customWidth="1" style="39" min="3" max="3"/>
    <col width="13" customWidth="1" style="39" min="4" max="5"/>
    <col width="14" customWidth="1" style="39" min="6" max="6"/>
    <col width="32" customWidth="1" style="39" min="7" max="7"/>
    <col width="10" customWidth="1" style="39" min="8" max="8"/>
  </cols>
  <sheetData>
    <row r="1" ht="30" customHeight="1" s="39">
      <c r="A1" s="42" t="inlineStr">
        <is>
          <t>食客奖励 · 共用普通强化池</t>
        </is>
      </c>
    </row>
    <row r="2" ht="31.95" customHeight="1" s="39">
      <c r="A2" s="43" t="inlineStr">
        <is>
          <t>本页不再维护独立抽选池。食客奖励直接从“普通门”工作表的启用项中随机抽取 1 项。</t>
        </is>
      </c>
    </row>
    <row r="3" ht="34.05" customHeight="1" s="39">
      <c r="A3" s="30" t="n"/>
      <c r="B3" s="30" t="n"/>
      <c r="C3" s="30" t="n"/>
      <c r="D3" s="30" t="n"/>
      <c r="E3" s="30" t="n"/>
      <c r="F3" s="30" t="n"/>
      <c r="G3" s="30" t="n"/>
      <c r="H3" s="30" t="n"/>
    </row>
    <row r="4" ht="34.05" customHeight="1" s="39">
      <c r="A4" s="31" t="inlineStr">
        <is>
          <t>项目</t>
        </is>
      </c>
      <c r="B4" s="31" t="inlineStr">
        <is>
          <t>规则</t>
        </is>
      </c>
      <c r="C4" s="30" t="n"/>
      <c r="D4" s="30" t="n"/>
      <c r="E4" s="30" t="n"/>
      <c r="F4" s="30" t="n"/>
      <c r="G4" s="30" t="n"/>
      <c r="H4" s="30" t="n"/>
    </row>
    <row r="5" ht="34.05" customHeight="1" s="39">
      <c r="A5" s="32" t="inlineStr">
        <is>
          <t>数据来源</t>
        </is>
      </c>
      <c r="B5" s="33" t="inlineStr">
        <is>
          <t>“普通门”工作表中启用的候选</t>
        </is>
      </c>
      <c r="C5" s="30" t="n"/>
      <c r="D5" s="30" t="n"/>
      <c r="E5" s="30" t="n"/>
      <c r="F5" s="30" t="n"/>
      <c r="G5" s="30" t="n"/>
      <c r="H5" s="30" t="n"/>
    </row>
    <row r="6" ht="34.05" customHeight="1" s="39">
      <c r="A6" s="32" t="inlineStr">
        <is>
          <t>抽选数量</t>
        </is>
      </c>
      <c r="B6" s="33" t="inlineStr">
        <is>
          <t>每名普通食客随机抽取 1 项</t>
        </is>
      </c>
      <c r="C6" s="30" t="n"/>
      <c r="D6" s="30" t="n"/>
      <c r="E6" s="30" t="n"/>
      <c r="F6" s="30" t="n"/>
      <c r="G6" s="30" t="n"/>
      <c r="H6" s="30" t="n"/>
    </row>
    <row r="7" ht="34.05" customHeight="1" s="39">
      <c r="A7" s="32" t="inlineStr">
        <is>
          <t>数值生成</t>
        </is>
      </c>
      <c r="B7" s="33" t="inlineStr">
        <is>
          <t>抽中后独立随机数值百分位</t>
        </is>
      </c>
      <c r="C7" s="30" t="n"/>
      <c r="D7" s="30" t="n"/>
      <c r="E7" s="30" t="n"/>
      <c r="F7" s="30" t="n"/>
      <c r="G7" s="30" t="n"/>
      <c r="H7" s="30" t="n"/>
    </row>
    <row r="8" ht="34.05" customHeight="1" s="39">
      <c r="A8" s="32" t="inlineStr">
        <is>
          <t>修改入口</t>
        </is>
      </c>
      <c r="B8" s="33" t="inlineStr">
        <is>
          <t>只修改“普通门”工作表，本页无需编辑</t>
        </is>
      </c>
      <c r="C8" s="30" t="n"/>
      <c r="D8" s="30" t="n"/>
      <c r="E8" s="30" t="n"/>
      <c r="F8" s="30" t="n"/>
      <c r="G8" s="30" t="n"/>
      <c r="H8" s="30" t="n"/>
    </row>
    <row r="9" ht="34.05" customHeight="1" s="39">
      <c r="A9" s="30" t="n"/>
      <c r="B9" s="30" t="n"/>
      <c r="C9" s="30" t="n"/>
      <c r="D9" s="30" t="n"/>
      <c r="E9" s="30" t="n"/>
      <c r="F9" s="30" t="n"/>
      <c r="G9" s="30" t="n"/>
      <c r="H9" s="30" t="n"/>
    </row>
    <row r="10">
      <c r="A10" s="44" t="inlineStr">
        <is>
          <t>当前共用候选池（只读镜像）</t>
        </is>
      </c>
    </row>
    <row r="11">
      <c r="A11" s="31" t="inlineStr">
        <is>
          <t>强化ID</t>
        </is>
      </c>
      <c r="B11" s="31" t="inlineStr">
        <is>
          <t>显示名称</t>
        </is>
      </c>
      <c r="C11" s="31" t="inlineStr">
        <is>
          <t>类型</t>
        </is>
      </c>
      <c r="D11" s="31" t="inlineStr">
        <is>
          <t>最小值</t>
        </is>
      </c>
      <c r="E11" s="31" t="inlineStr">
        <is>
          <t>最大值</t>
        </is>
      </c>
      <c r="F11" s="31" t="inlineStr">
        <is>
          <t>显示后缀</t>
        </is>
      </c>
      <c r="G11" s="31" t="inlineStr">
        <is>
          <t>门牌描述模板</t>
        </is>
      </c>
      <c r="H11" s="31" t="inlineStr">
        <is>
          <t>启用</t>
        </is>
      </c>
    </row>
    <row r="12">
      <c r="A12" s="34">
        <f>普通门!A2</f>
        <v/>
      </c>
      <c r="B12" s="34">
        <f>普通门!B2</f>
        <v/>
      </c>
      <c r="C12" s="34">
        <f>普通门!C2</f>
        <v/>
      </c>
      <c r="D12" s="35">
        <f>普通门!D2</f>
        <v/>
      </c>
      <c r="E12" s="35">
        <f>普通门!E2</f>
        <v/>
      </c>
      <c r="F12" s="36">
        <f>普通门!F2</f>
        <v/>
      </c>
      <c r="G12" s="36">
        <f>普通门!G2</f>
        <v/>
      </c>
      <c r="H12" s="36">
        <f>普通门!H2</f>
        <v/>
      </c>
    </row>
    <row r="13">
      <c r="A13" s="34">
        <f>普通门!A3</f>
        <v/>
      </c>
      <c r="B13" s="34">
        <f>普通门!B3</f>
        <v/>
      </c>
      <c r="C13" s="34">
        <f>普通门!C3</f>
        <v/>
      </c>
      <c r="D13" s="35">
        <f>普通门!D3</f>
        <v/>
      </c>
      <c r="E13" s="35">
        <f>普通门!E3</f>
        <v/>
      </c>
      <c r="F13" s="36">
        <f>普通门!F3</f>
        <v/>
      </c>
      <c r="G13" s="36">
        <f>普通门!G3</f>
        <v/>
      </c>
      <c r="H13" s="36">
        <f>普通门!H3</f>
        <v/>
      </c>
    </row>
    <row r="14">
      <c r="A14" s="34">
        <f>普通门!A4</f>
        <v/>
      </c>
      <c r="B14" s="34">
        <f>普通门!B4</f>
        <v/>
      </c>
      <c r="C14" s="34">
        <f>普通门!C4</f>
        <v/>
      </c>
      <c r="D14" s="37">
        <f>普通门!D4</f>
        <v/>
      </c>
      <c r="E14" s="37">
        <f>普通门!E4</f>
        <v/>
      </c>
      <c r="F14" s="36">
        <f>普通门!F4</f>
        <v/>
      </c>
      <c r="G14" s="36">
        <f>普通门!G4</f>
        <v/>
      </c>
      <c r="H14" s="36">
        <f>普通门!H4</f>
        <v/>
      </c>
    </row>
    <row r="15">
      <c r="A15" s="34">
        <f>普通门!A5</f>
        <v/>
      </c>
      <c r="B15" s="34">
        <f>普通门!B5</f>
        <v/>
      </c>
      <c r="C15" s="34">
        <f>普通门!C5</f>
        <v/>
      </c>
      <c r="D15" s="37">
        <f>普通门!D5</f>
        <v/>
      </c>
      <c r="E15" s="37">
        <f>普通门!E5</f>
        <v/>
      </c>
      <c r="F15" s="36">
        <f>普通门!F5</f>
        <v/>
      </c>
      <c r="G15" s="36">
        <f>普通门!G5</f>
        <v/>
      </c>
      <c r="H15" s="36">
        <f>普通门!H5</f>
        <v/>
      </c>
    </row>
    <row r="16">
      <c r="A16" s="34">
        <f>普通门!A6</f>
        <v/>
      </c>
      <c r="B16" s="34">
        <f>普通门!B6</f>
        <v/>
      </c>
      <c r="C16" s="34">
        <f>普通门!C6</f>
        <v/>
      </c>
      <c r="D16" s="35">
        <f>普通门!D6</f>
        <v/>
      </c>
      <c r="E16" s="35">
        <f>普通门!E6</f>
        <v/>
      </c>
      <c r="F16" s="36">
        <f>普通门!F6</f>
        <v/>
      </c>
      <c r="G16" s="36">
        <f>普通门!G6</f>
        <v/>
      </c>
      <c r="H16" s="36">
        <f>普通门!H6</f>
        <v/>
      </c>
    </row>
    <row r="17">
      <c r="A17" s="34">
        <f>普通门!A7</f>
        <v/>
      </c>
      <c r="B17" s="34">
        <f>普通门!B7</f>
        <v/>
      </c>
      <c r="C17" s="34">
        <f>普通门!C7</f>
        <v/>
      </c>
      <c r="D17" s="35">
        <f>普通门!D7</f>
        <v/>
      </c>
      <c r="E17" s="35">
        <f>普通门!E7</f>
        <v/>
      </c>
      <c r="F17" s="36">
        <f>普通门!F7</f>
        <v/>
      </c>
      <c r="G17" s="36">
        <f>普通门!G7</f>
        <v/>
      </c>
      <c r="H17" s="36">
        <f>普通门!H7</f>
        <v/>
      </c>
    </row>
    <row r="18">
      <c r="A18" s="34">
        <f>普通门!A8</f>
        <v/>
      </c>
      <c r="B18" s="34">
        <f>普通门!B8</f>
        <v/>
      </c>
      <c r="C18" s="34">
        <f>普通门!C8</f>
        <v/>
      </c>
      <c r="D18" s="35">
        <f>普通门!D8</f>
        <v/>
      </c>
      <c r="E18" s="35">
        <f>普通门!E8</f>
        <v/>
      </c>
      <c r="F18" s="36">
        <f>普通门!F8</f>
        <v/>
      </c>
      <c r="G18" s="36">
        <f>普通门!G8</f>
        <v/>
      </c>
      <c r="H18" s="36">
        <f>普通门!H8</f>
        <v/>
      </c>
    </row>
    <row r="19">
      <c r="A19" s="34">
        <f>普通门!A9</f>
        <v/>
      </c>
      <c r="B19" s="34">
        <f>普通门!B9</f>
        <v/>
      </c>
      <c r="C19" s="34">
        <f>普通门!C9</f>
        <v/>
      </c>
      <c r="D19" s="35">
        <f>普通门!D9</f>
        <v/>
      </c>
      <c r="E19" s="35">
        <f>普通门!E9</f>
        <v/>
      </c>
      <c r="F19" s="36">
        <f>普通门!F9</f>
        <v/>
      </c>
      <c r="G19" s="36">
        <f>普通门!G9</f>
        <v/>
      </c>
      <c r="H19" s="36">
        <f>普通门!H9</f>
        <v/>
      </c>
    </row>
  </sheetData>
  <mergeCells count="3">
    <mergeCell ref="A1:H1"/>
    <mergeCell ref="A2:H2"/>
    <mergeCell ref="A10:H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3.8"/>
  <cols>
    <col width="30" customWidth="1" style="39" min="1" max="1"/>
    <col width="34" customWidth="1" style="39" min="2" max="2"/>
    <col width="48" customWidth="1" style="39" min="3" max="3"/>
  </cols>
  <sheetData>
    <row r="1" ht="30" customHeight="1" s="39">
      <c r="A1" s="1" t="inlineStr">
        <is>
          <t>参数ID</t>
        </is>
      </c>
      <c r="B1" s="1" t="inlineStr">
        <is>
          <t>数值</t>
        </is>
      </c>
      <c r="C1" s="1" t="inlineStr">
        <is>
          <t>说明</t>
        </is>
      </c>
    </row>
    <row r="2" ht="15" customHeight="1" s="39">
      <c r="A2" s="2" t="inlineStr">
        <is>
          <t>schema_id</t>
        </is>
      </c>
      <c r="B2" s="10" t="inlineStr">
        <is>
          <t>xiaochuxi.normal_upgrades</t>
        </is>
      </c>
      <c r="C2" s="2" t="inlineStr">
        <is>
          <t>普通强化表结构标识，请勿修改</t>
        </is>
      </c>
    </row>
    <row r="3" ht="15" customHeight="1" s="39">
      <c r="A3" s="3" t="inlineStr">
        <is>
          <t>schema_version</t>
        </is>
      </c>
      <c r="B3" s="12" t="n">
        <v>2</v>
      </c>
      <c r="C3" s="3" t="inlineStr">
        <is>
          <t>结构版本，请勿修改</t>
        </is>
      </c>
    </row>
    <row r="4">
      <c r="A4" t="inlineStr">
        <is>
          <t>reward_effect_scale</t>
        </is>
      </c>
      <c r="B4" t="n">
        <v>0.4</v>
      </c>
      <c r="C4" t="inlineStr">
        <is>
          <t>食客小份奖励的效果、额外胃口与升值血量缩放</t>
        </is>
      </c>
    </row>
    <row r="5">
      <c r="A5" t="inlineStr">
        <is>
          <t>wine_curve_c</t>
        </is>
      </c>
      <c r="B5" t="n">
        <v>1</v>
      </c>
      <c r="C5" t="inlineStr">
        <is>
          <t>酒的对数软化参数</t>
        </is>
      </c>
    </row>
    <row r="6">
      <c r="A6" t="inlineStr">
        <is>
          <t>range_curve_c</t>
        </is>
      </c>
      <c r="B6" t="n">
        <v>4</v>
      </c>
      <c r="C6" t="inlineStr">
        <is>
          <t>葱的对数软化参数</t>
        </is>
      </c>
    </row>
    <row r="7">
      <c r="A7" t="inlineStr">
        <is>
          <t>duration_curve_c</t>
        </is>
      </c>
      <c r="B7" t="n">
        <v>1</v>
      </c>
      <c r="C7" t="inlineStr">
        <is>
          <t>淀粉的对数软化参数</t>
        </is>
      </c>
    </row>
    <row r="8">
      <c r="A8" t="inlineStr">
        <is>
          <t>cart_speed_curve_c</t>
        </is>
      </c>
      <c r="B8" t="n">
        <v>0.5</v>
      </c>
      <c r="C8" t="inlineStr">
        <is>
          <t>轻便餐车的对数软化参数</t>
        </is>
      </c>
    </row>
    <row r="9">
      <c r="A9" t="inlineStr">
        <is>
          <t>range_multiplier_cap</t>
        </is>
      </c>
      <c r="B9" t="n">
        <v>17.6470588235</v>
      </c>
      <c r="C9" t="inlineStr">
        <is>
          <t>土豆判定直径覆盖六区的异常保护倍率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3.8"/>
  <cols>
    <col width="20" customWidth="1" style="39" min="1" max="1"/>
    <col width="94" customWidth="1" style="39" min="2" max="2"/>
  </cols>
  <sheetData>
    <row r="1" ht="30" customHeight="1" s="39">
      <c r="A1" s="1" t="inlineStr">
        <is>
          <t>项目</t>
        </is>
      </c>
      <c r="B1" s="1" t="inlineStr">
        <is>
          <t>说明</t>
        </is>
      </c>
    </row>
    <row r="2" ht="42" customHeight="1" s="39">
      <c r="A2" s="10" t="inlineStr">
        <is>
          <t>生效方式</t>
        </is>
      </c>
      <c r="B2" s="23" t="inlineStr">
        <is>
          <t>保存并关闭后重新开始本局；普通门与食客奖励门都会读取同一候选池，已生成对象不热替换。</t>
        </is>
      </c>
    </row>
    <row r="3" ht="42" customHeight="1" s="39">
      <c r="A3" s="11" t="inlineStr">
        <is>
          <t>百分比输入</t>
        </is>
      </c>
      <c r="B3" s="24" t="inlineStr">
        <is>
          <t>百分号强化使用真实小数，例如 5% 填 0.05；Excel 显示为百分号不改变存储值。</t>
        </is>
      </c>
    </row>
    <row r="4" ht="42" customHeight="1" s="39">
      <c r="A4" s="11" t="inlineStr">
        <is>
          <t>门牌文案</t>
        </is>
      </c>
      <c r="B4" s="24" t="inlineStr">
        <is>
          <t>两类门共用“普通门”工作表的启用候选、数值区间和门牌描述模板；食客奖励页仅作规则说明与只读镜像。</t>
        </is>
      </c>
    </row>
    <row r="5" ht="42" customHeight="1" s="39">
      <c r="A5" s="11" t="inlineStr">
        <is>
          <t>启用限制</t>
        </is>
      </c>
      <c r="B5" s="24" t="inlineStr">
        <is>
          <t>共用候选池至少启用两项；普通门同次抽取不重复，食客奖励每次抽取一项。少于两项时整本表回退。</t>
        </is>
      </c>
    </row>
    <row r="6" ht="42" customHeight="1" s="39">
      <c r="A6" s="12" t="inlineStr">
        <is>
          <t>失败回退</t>
        </is>
      </c>
      <c r="B6" s="25" t="inlineStr">
        <is>
          <t>文件缺失或数据非法时，普通门与食客奖励共同回退到 run_3d.gd 中当前竖切片的安全候选池。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2026-07-28T16:59:30Z</dcterms:created>
  <dcterms:modified xmlns:dcterms="http://purl.org/dc/terms/" xmlns:xsi="http://www.w3.org/2001/XMLSchema-instance" xsi:type="dcterms:W3CDTF">2026-07-28T18:13:45Z</dcterms:modified>
  <cp:lastModifiedBy>塔</cp:lastModifiedBy>
</cp:coreProperties>
</file>