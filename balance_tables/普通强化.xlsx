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FF8577CA-25FD-4F02-893C-CA01AFF0CD5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普通强化预览" sheetId="1" r:id="rId1"/>
    <sheet name="普通门" sheetId="2" r:id="rId2"/>
    <sheet name="食客奖励" sheetId="3" r:id="rId3"/>
    <sheet name="配置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5" i="1" l="1"/>
  <c r="I25" i="1"/>
  <c r="H25" i="1"/>
  <c r="G25" i="1"/>
  <c r="C25" i="1"/>
  <c r="F25" i="1" s="1"/>
  <c r="B25" i="1"/>
  <c r="A25" i="1"/>
  <c r="J24" i="1"/>
  <c r="I24" i="1"/>
  <c r="H24" i="1"/>
  <c r="G24" i="1"/>
  <c r="F24" i="1"/>
  <c r="D24" i="1"/>
  <c r="C24" i="1"/>
  <c r="E24" i="1" s="1"/>
  <c r="B24" i="1"/>
  <c r="A24" i="1"/>
  <c r="J23" i="1"/>
  <c r="I23" i="1"/>
  <c r="H23" i="1"/>
  <c r="G23" i="1"/>
  <c r="F23" i="1"/>
  <c r="E23" i="1"/>
  <c r="D23" i="1"/>
  <c r="C23" i="1"/>
  <c r="B23" i="1"/>
  <c r="A23" i="1"/>
  <c r="J22" i="1"/>
  <c r="I22" i="1"/>
  <c r="H22" i="1"/>
  <c r="G22" i="1"/>
  <c r="F22" i="1"/>
  <c r="E22" i="1"/>
  <c r="D22" i="1"/>
  <c r="C22" i="1"/>
  <c r="B22" i="1"/>
  <c r="A22" i="1"/>
  <c r="J21" i="1"/>
  <c r="I21" i="1"/>
  <c r="H21" i="1"/>
  <c r="G21" i="1"/>
  <c r="C21" i="1"/>
  <c r="F21" i="1" s="1"/>
  <c r="B21" i="1"/>
  <c r="A21" i="1"/>
  <c r="J20" i="1"/>
  <c r="I20" i="1"/>
  <c r="H20" i="1"/>
  <c r="G20" i="1"/>
  <c r="C20" i="1"/>
  <c r="F20" i="1" s="1"/>
  <c r="B20" i="1"/>
  <c r="A20" i="1"/>
  <c r="J19" i="1"/>
  <c r="I19" i="1"/>
  <c r="H19" i="1"/>
  <c r="G19" i="1"/>
  <c r="C19" i="1"/>
  <c r="F19" i="1" s="1"/>
  <c r="B19" i="1"/>
  <c r="A19" i="1"/>
  <c r="J18" i="1"/>
  <c r="I18" i="1"/>
  <c r="H18" i="1"/>
  <c r="G18" i="1"/>
  <c r="F18" i="1"/>
  <c r="D18" i="1"/>
  <c r="C18" i="1"/>
  <c r="E18" i="1" s="1"/>
  <c r="B18" i="1"/>
  <c r="A18" i="1"/>
  <c r="J14" i="1"/>
  <c r="I14" i="1"/>
  <c r="H14" i="1"/>
  <c r="G14" i="1"/>
  <c r="F14" i="1"/>
  <c r="E14" i="1"/>
  <c r="D14" i="1"/>
  <c r="C14" i="1"/>
  <c r="B14" i="1"/>
  <c r="A14" i="1"/>
  <c r="J13" i="1"/>
  <c r="I13" i="1"/>
  <c r="H13" i="1"/>
  <c r="G13" i="1"/>
  <c r="F13" i="1"/>
  <c r="E13" i="1"/>
  <c r="D13" i="1"/>
  <c r="C13" i="1"/>
  <c r="B13" i="1"/>
  <c r="A13" i="1"/>
  <c r="J12" i="1"/>
  <c r="I12" i="1"/>
  <c r="H12" i="1"/>
  <c r="G12" i="1"/>
  <c r="C12" i="1"/>
  <c r="D12" i="1" s="1"/>
  <c r="B12" i="1"/>
  <c r="A12" i="1"/>
  <c r="J11" i="1"/>
  <c r="I11" i="1"/>
  <c r="H11" i="1"/>
  <c r="G11" i="1"/>
  <c r="C11" i="1"/>
  <c r="F11" i="1" s="1"/>
  <c r="B11" i="1"/>
  <c r="A11" i="1"/>
  <c r="J10" i="1"/>
  <c r="I10" i="1"/>
  <c r="H10" i="1"/>
  <c r="G10" i="1"/>
  <c r="C10" i="1"/>
  <c r="F10" i="1" s="1"/>
  <c r="B10" i="1"/>
  <c r="A10" i="1"/>
  <c r="J9" i="1"/>
  <c r="I9" i="1"/>
  <c r="H9" i="1"/>
  <c r="G9" i="1"/>
  <c r="F9" i="1"/>
  <c r="D9" i="1"/>
  <c r="C9" i="1"/>
  <c r="E9" i="1" s="1"/>
  <c r="B9" i="1"/>
  <c r="A9" i="1"/>
  <c r="J8" i="1"/>
  <c r="I8" i="1"/>
  <c r="H8" i="1"/>
  <c r="G8" i="1"/>
  <c r="F8" i="1"/>
  <c r="E8" i="1"/>
  <c r="D8" i="1"/>
  <c r="C8" i="1"/>
  <c r="B8" i="1"/>
  <c r="A8" i="1"/>
  <c r="J7" i="1"/>
  <c r="I7" i="1"/>
  <c r="H7" i="1"/>
  <c r="G7" i="1"/>
  <c r="F7" i="1"/>
  <c r="E7" i="1"/>
  <c r="D7" i="1"/>
  <c r="C7" i="1"/>
  <c r="B7" i="1"/>
  <c r="A7" i="1"/>
  <c r="D21" i="1" l="1"/>
  <c r="F12" i="1"/>
  <c r="D10" i="1"/>
  <c r="D19" i="1"/>
  <c r="D25" i="1"/>
  <c r="E10" i="1"/>
  <c r="E19" i="1"/>
  <c r="E25" i="1"/>
  <c r="E12" i="1"/>
  <c r="D11" i="1"/>
  <c r="D20" i="1"/>
  <c r="E11" i="1"/>
  <c r="E20" i="1"/>
  <c r="E21" i="1"/>
</calcChain>
</file>

<file path=xl/sharedStrings.xml><?xml version="1.0" encoding="utf-8"?>
<sst xmlns="http://schemas.openxmlformats.org/spreadsheetml/2006/main" count="186" uniqueCount="82">
  <si>
    <t>小厨西 · 普通强化预览</t>
  </si>
  <si>
    <t>四档分界由最小值与最大值线性计算。百分号类以真实小数保存；例如 5% 在输入格中是 0.05。不同单位不放在同一图表中，避免错误比较。</t>
  </si>
  <si>
    <t>普通强化门区间</t>
  </si>
  <si>
    <t>强化</t>
  </si>
  <si>
    <t>类型</t>
  </si>
  <si>
    <t>最小</t>
  </si>
  <si>
    <t>25%分位</t>
  </si>
  <si>
    <t>50%分位</t>
  </si>
  <si>
    <t>75%分位</t>
  </si>
  <si>
    <t>最大</t>
  </si>
  <si>
    <t>后缀</t>
  </si>
  <si>
    <t>启用</t>
  </si>
  <si>
    <t>说明</t>
  </si>
  <si>
    <t>食客奖励门区间</t>
  </si>
  <si>
    <t>强化ID</t>
  </si>
  <si>
    <t>显示名称</t>
  </si>
  <si>
    <t>最小值</t>
  </si>
  <si>
    <t>最大值</t>
  </si>
  <si>
    <t>显示后缀</t>
  </si>
  <si>
    <t>sugar</t>
  </si>
  <si>
    <t>糖</t>
  </si>
  <si>
    <t>%</t>
  </si>
  <si>
    <t>quick_prep</t>
  </si>
  <si>
    <t>快速备餐</t>
  </si>
  <si>
    <t>提高攻击速度，间隔按基础间隔÷(1+累计攻速)</t>
  </si>
  <si>
    <t>light_cart</t>
  </si>
  <si>
    <t>轻便餐车</t>
  </si>
  <si>
    <t>速度</t>
  </si>
  <si>
    <t>固定点数提高餐车横移速度</t>
  </si>
  <si>
    <t>sturdy_cart</t>
  </si>
  <si>
    <t>餐车改造</t>
  </si>
  <si>
    <t>点</t>
  </si>
  <si>
    <t>同时提高当前与最大耐久</t>
  </si>
  <si>
    <t>repair</t>
  </si>
  <si>
    <t>紧急维修</t>
  </si>
  <si>
    <t>按最大耐久恢复，溢出转为临时护盾</t>
  </si>
  <si>
    <t>wine</t>
  </si>
  <si>
    <t>酒</t>
  </si>
  <si>
    <t>提高投射速度或环绕角速度</t>
  </si>
  <si>
    <t>scallion</t>
  </si>
  <si>
    <t>葱</t>
  </si>
  <si>
    <t>提高投射体和效果范围</t>
  </si>
  <si>
    <t>starch</t>
  </si>
  <si>
    <t>淀粉</t>
  </si>
  <si>
    <t>提高投射或效果持续时间</t>
  </si>
  <si>
    <t>drop_sugar</t>
  </si>
  <si>
    <t>食客奖励门：提高全部食材满足值</t>
  </si>
  <si>
    <t>drop_quick</t>
  </si>
  <si>
    <t>备餐</t>
  </si>
  <si>
    <t>食客奖励门：提高攻击速度</t>
  </si>
  <si>
    <t>drop_wine</t>
  </si>
  <si>
    <t>食客奖励门：提高运动速度</t>
  </si>
  <si>
    <t>drop_scallion</t>
  </si>
  <si>
    <t>食客奖励门：提高范围</t>
  </si>
  <si>
    <t>drop_starch</t>
  </si>
  <si>
    <t>食客奖励门：提高持续时间</t>
  </si>
  <si>
    <t>drop_light</t>
  </si>
  <si>
    <t>轻车</t>
  </si>
  <si>
    <t>食客奖励门：提高横移速度</t>
  </si>
  <si>
    <t>drop_sturdy</t>
  </si>
  <si>
    <t>食客奖励门：提高当前与最大耐久</t>
  </si>
  <si>
    <t>drop_repair</t>
  </si>
  <si>
    <t>食客奖励门：恢复耐久并提供溢出护盾</t>
  </si>
  <si>
    <t>参数ID</t>
  </si>
  <si>
    <t>数值</t>
  </si>
  <si>
    <t>schema_id</t>
  </si>
  <si>
    <t>xiaochuxi.normal_upgrades</t>
  </si>
  <si>
    <t>普通强化表结构标识，请勿修改</t>
  </si>
  <si>
    <t>schema_version</t>
  </si>
  <si>
    <t>结构版本，请勿修改</t>
  </si>
  <si>
    <t>项目</t>
  </si>
  <si>
    <t>生效方式</t>
  </si>
  <si>
    <t>保存并关闭后重新开始本局；新生成的普通门和食客奖励门使用新表，已生成对象不热替换。</t>
  </si>
  <si>
    <t>百分比输入</t>
  </si>
  <si>
    <t>百分号强化使用真实小数，例如 5% 填 0.05；Excel 显示为百分号不改变存储值。</t>
  </si>
  <si>
    <t>两个池</t>
  </si>
  <si>
    <t>普通门与食客奖励门分别读取，可使用不同显示名、区间和启用状态。</t>
  </si>
  <si>
    <t>启用限制</t>
  </si>
  <si>
    <t>普通门至少启用两项，食客奖励至少启用一项；否则整本表回退。</t>
  </si>
  <si>
    <t>失败回退</t>
  </si>
  <si>
    <t>文件缺失或数据非法时，游戏继续使用 run_3d.gd 中当前竖切片的安全区间。</t>
  </si>
  <si>
    <t>提高全部食材饱腹度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</si>
</sst>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</borders>
  <cellStyleXfs count="2">
    <xf numFmtId="0" fontId="0" fillId="0" borderId="0"/>
    <xf numFmtId="0" fontId="5" fillId="0" borderId="0"/>
  </cellStyleXfs>
  <cellXfs count="37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0" fontId="2" fillId="5" borderId="1" xfId="1" applyFont="1" applyFill="1" applyBorder="1" applyAlignment="1">
      <alignment vertical="center" wrapText="1"/>
    </xf>
    <xf numFmtId="0" fontId="2" fillId="5" borderId="2" xfId="1" applyFont="1" applyFill="1" applyBorder="1" applyAlignment="1">
      <alignment vertical="center" wrapText="1"/>
    </xf>
    <xf numFmtId="0" fontId="2" fillId="5" borderId="3" xfId="1" applyFont="1" applyFill="1" applyBorder="1" applyAlignment="1">
      <alignment vertical="center" wrapText="1"/>
    </xf>
    <xf numFmtId="0" fontId="0" fillId="0" borderId="0" xfId="1" applyFont="1" applyAlignment="1">
      <alignment wrapText="1"/>
    </xf>
    <xf numFmtId="0" fontId="2" fillId="6" borderId="1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7" borderId="2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7" borderId="3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7" borderId="1" xfId="1" applyFont="1" applyFill="1" applyBorder="1" applyAlignment="1">
      <alignment vertical="center" wrapText="1"/>
    </xf>
    <xf numFmtId="0" fontId="2" fillId="7" borderId="2" xfId="1" applyFont="1" applyFill="1" applyBorder="1" applyAlignment="1">
      <alignment vertical="center" wrapText="1"/>
    </xf>
    <xf numFmtId="0" fontId="2" fillId="7" borderId="3" xfId="1" applyFont="1" applyFill="1" applyBorder="1" applyAlignment="1">
      <alignment vertical="center" wrapText="1"/>
    </xf>
    <xf numFmtId="9" fontId="2" fillId="7" borderId="1" xfId="1" applyNumberFormat="1" applyFont="1" applyFill="1" applyBorder="1" applyAlignment="1">
      <alignment vertical="center"/>
    </xf>
    <xf numFmtId="9" fontId="2" fillId="7" borderId="2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9" fontId="2" fillId="7" borderId="3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vertical="center"/>
    </xf>
    <xf numFmtId="0" fontId="3" fillId="4" borderId="0" xfId="1" applyFont="1" applyFill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dc8bffaf9cfb415a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rmalGateUpgradeTable" displayName="NormalGateUpgradeTable" ref="A1:H9" totalsRowShown="0">
  <tableColumns count="8">
    <tableColumn id="1" xr3:uid="{00000000-0010-0000-0000-000001000000}" name="强化ID"/>
    <tableColumn id="2" xr3:uid="{00000000-0010-0000-0000-000002000000}" name="显示名称"/>
    <tableColumn id="3" xr3:uid="{00000000-0010-0000-0000-000003000000}" name="类型"/>
    <tableColumn id="4" xr3:uid="{00000000-0010-0000-0000-000004000000}" name="最小值"/>
    <tableColumn id="5" xr3:uid="{00000000-0010-0000-0000-000005000000}" name="最大值"/>
    <tableColumn id="6" xr3:uid="{00000000-0010-0000-0000-000006000000}" name="显示后缀"/>
    <tableColumn id="7" xr3:uid="{00000000-0010-0000-0000-000007000000}" name="说明"/>
    <tableColumn id="8" xr3:uid="{00000000-0010-0000-0000-000008000000}" name="启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ustomerRewardUpgradeTable" displayName="CustomerRewardUpgradeTable" ref="A1:H9" totalsRowShown="0">
  <tableColumns count="8">
    <tableColumn id="1" xr3:uid="{00000000-0010-0000-0100-000001000000}" name="强化ID"/>
    <tableColumn id="2" xr3:uid="{00000000-0010-0000-0100-000002000000}" name="显示名称"/>
    <tableColumn id="3" xr3:uid="{00000000-0010-0000-0100-000003000000}" name="类型"/>
    <tableColumn id="4" xr3:uid="{00000000-0010-0000-0100-000004000000}" name="最小值"/>
    <tableColumn id="5" xr3:uid="{00000000-0010-0000-0100-000005000000}" name="最大值"/>
    <tableColumn id="6" xr3:uid="{00000000-0010-0000-0100-000006000000}" name="显示后缀"/>
    <tableColumn id="7" xr3:uid="{00000000-0010-0000-0100-000007000000}" name="说明"/>
    <tableColumn id="8" xr3:uid="{00000000-0010-0000-0100-000008000000}" name="启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xiaochuxi_normal_upgrades_config" displayName="xiaochuxi_normal_upgrades_config" ref="A1:C3" totalsRowShown="0">
  <tableColumns count="3">
    <tableColumn id="1" xr3:uid="{00000000-0010-0000-0200-000001000000}" name="参数ID"/>
    <tableColumn id="2" xr3:uid="{00000000-0010-0000-0200-000002000000}" name="数值"/>
    <tableColumn id="3" xr3:uid="{00000000-0010-0000-0200-000003000000}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ormalUpgradeNotesTable" displayName="NormalUpgradeNotesTable" ref="A1:B6" totalsRowShown="0">
  <tableColumns count="2">
    <tableColumn id="1" xr3:uid="{00000000-0010-0000-0300-000001000000}" name="项目"/>
    <tableColumn id="2" xr3:uid="{00000000-0010-0000-03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showGridLines="0" topLeftCell="A4" workbookViewId="0">
      <selection sqref="A1:J1"/>
    </sheetView>
  </sheetViews>
  <sheetFormatPr defaultRowHeight="13.8"/>
  <cols>
    <col min="1" max="2" width="18" customWidth="1"/>
    <col min="3" max="3" width="13" customWidth="1"/>
    <col min="4" max="6" width="14" customWidth="1"/>
    <col min="7" max="7" width="13" customWidth="1"/>
    <col min="8" max="8" width="12" customWidth="1"/>
    <col min="9" max="9" width="11" customWidth="1"/>
    <col min="10" max="10" width="52" customWidth="1"/>
  </cols>
  <sheetData>
    <row r="1" spans="1:10" ht="37.950000000000003" customHeight="1">
      <c r="A1" s="33" t="s">
        <v>0</v>
      </c>
      <c r="B1" s="33" t="s">
        <v>0</v>
      </c>
      <c r="C1" s="33" t="s">
        <v>0</v>
      </c>
      <c r="D1" s="33" t="s">
        <v>0</v>
      </c>
      <c r="E1" s="33" t="s">
        <v>0</v>
      </c>
      <c r="F1" s="33" t="s">
        <v>0</v>
      </c>
      <c r="G1" s="33" t="s">
        <v>0</v>
      </c>
      <c r="H1" s="33" t="s">
        <v>0</v>
      </c>
      <c r="I1" s="33" t="s">
        <v>0</v>
      </c>
      <c r="J1" s="33" t="s">
        <v>0</v>
      </c>
    </row>
    <row r="2" spans="1:10">
      <c r="A2" s="34" t="s">
        <v>1</v>
      </c>
      <c r="B2" s="34" t="s">
        <v>1</v>
      </c>
      <c r="C2" s="34" t="s">
        <v>1</v>
      </c>
      <c r="D2" s="34" t="s">
        <v>1</v>
      </c>
      <c r="E2" s="34" t="s">
        <v>1</v>
      </c>
      <c r="F2" s="34" t="s">
        <v>1</v>
      </c>
      <c r="G2" s="34" t="s">
        <v>1</v>
      </c>
      <c r="H2" s="34" t="s">
        <v>1</v>
      </c>
      <c r="I2" s="34" t="s">
        <v>1</v>
      </c>
      <c r="J2" s="34" t="s">
        <v>1</v>
      </c>
    </row>
    <row r="3" spans="1:10">
      <c r="A3" s="34" t="s">
        <v>1</v>
      </c>
      <c r="B3" s="34" t="s">
        <v>1</v>
      </c>
      <c r="C3" s="34" t="s">
        <v>1</v>
      </c>
      <c r="D3" s="34" t="s">
        <v>1</v>
      </c>
      <c r="E3" s="34" t="s">
        <v>1</v>
      </c>
      <c r="F3" s="34" t="s">
        <v>1</v>
      </c>
      <c r="G3" s="34" t="s">
        <v>1</v>
      </c>
      <c r="H3" s="34" t="s">
        <v>1</v>
      </c>
      <c r="I3" s="34" t="s">
        <v>1</v>
      </c>
      <c r="J3" s="34" t="s">
        <v>1</v>
      </c>
    </row>
    <row r="5" spans="1:10" ht="28.05" customHeight="1">
      <c r="A5" s="35" t="s">
        <v>2</v>
      </c>
      <c r="B5" s="35" t="s">
        <v>2</v>
      </c>
      <c r="C5" s="35" t="s">
        <v>2</v>
      </c>
      <c r="D5" s="35" t="s">
        <v>2</v>
      </c>
      <c r="E5" s="35" t="s">
        <v>2</v>
      </c>
      <c r="F5" s="35" t="s">
        <v>2</v>
      </c>
      <c r="G5" s="35" t="s">
        <v>2</v>
      </c>
      <c r="H5" s="35" t="s">
        <v>2</v>
      </c>
      <c r="I5" s="35" t="s">
        <v>2</v>
      </c>
      <c r="J5" s="35" t="s">
        <v>2</v>
      </c>
    </row>
    <row r="6" spans="1:10" ht="30" customHeight="1">
      <c r="A6" s="1" t="s">
        <v>3</v>
      </c>
      <c r="B6" s="1" t="s">
        <v>4</v>
      </c>
      <c r="C6" s="1" t="s">
        <v>5</v>
      </c>
      <c r="D6" s="1" t="s">
        <v>6</v>
      </c>
      <c r="E6" s="1" t="s">
        <v>7</v>
      </c>
      <c r="F6" s="1" t="s">
        <v>8</v>
      </c>
      <c r="G6" s="1" t="s">
        <v>9</v>
      </c>
      <c r="H6" s="1" t="s">
        <v>10</v>
      </c>
      <c r="I6" s="1" t="s">
        <v>11</v>
      </c>
      <c r="J6" s="1" t="s">
        <v>12</v>
      </c>
    </row>
    <row r="7" spans="1:10" ht="15">
      <c r="A7" s="4" t="str">
        <f>普通门!B2</f>
        <v>糖</v>
      </c>
      <c r="B7" s="4" t="str">
        <f>普通门!C2</f>
        <v>sugar</v>
      </c>
      <c r="C7" s="7">
        <f>普通门!D2</f>
        <v>0.05</v>
      </c>
      <c r="D7" s="7">
        <f>C7+(普通门!E2-C7)*0.25</f>
        <v>0.15000000000000002</v>
      </c>
      <c r="E7" s="7">
        <f>C7+(普通门!E2-C7)*0.5</f>
        <v>0.25</v>
      </c>
      <c r="F7" s="7">
        <f>C7+(普通门!E2-C7)*0.75</f>
        <v>0.35000000000000003</v>
      </c>
      <c r="G7" s="7">
        <f>普通门!E2</f>
        <v>0.45</v>
      </c>
      <c r="H7" s="4" t="str">
        <f>普通门!F2</f>
        <v>%</v>
      </c>
      <c r="I7" s="4" t="b">
        <f>普通门!H2</f>
        <v>1</v>
      </c>
      <c r="J7" s="10" t="str">
        <f>普通门!G2</f>
        <v>提高全部食材饱腹度</v>
      </c>
    </row>
    <row r="8" spans="1:10" ht="15">
      <c r="A8" s="5" t="str">
        <f>普通门!B3</f>
        <v>快速备餐</v>
      </c>
      <c r="B8" s="5" t="str">
        <f>普通门!C3</f>
        <v>quick_prep</v>
      </c>
      <c r="C8" s="8">
        <f>普通门!D3</f>
        <v>0.02</v>
      </c>
      <c r="D8" s="8">
        <f>C8+(普通门!E3-C8)*0.25</f>
        <v>6.5000000000000002E-2</v>
      </c>
      <c r="E8" s="8">
        <f>C8+(普通门!E3-C8)*0.5</f>
        <v>0.11000000000000001</v>
      </c>
      <c r="F8" s="8">
        <f>C8+(普通门!E3-C8)*0.75</f>
        <v>0.155</v>
      </c>
      <c r="G8" s="8">
        <f>普通门!E3</f>
        <v>0.2</v>
      </c>
      <c r="H8" s="5" t="str">
        <f>普通门!F3</f>
        <v>%</v>
      </c>
      <c r="I8" s="5" t="b">
        <f>普通门!H3</f>
        <v>1</v>
      </c>
      <c r="J8" s="11" t="str">
        <f>普通门!G3</f>
        <v>提高攻击速度，间隔按基础间隔÷(1+累计攻速)</v>
      </c>
    </row>
    <row r="9" spans="1:10" ht="15">
      <c r="A9" s="5" t="str">
        <f>普通门!B4</f>
        <v>轻便餐车</v>
      </c>
      <c r="B9" s="5" t="str">
        <f>普通门!C4</f>
        <v>light_cart</v>
      </c>
      <c r="C9" s="8">
        <f>普通门!D4</f>
        <v>50</v>
      </c>
      <c r="D9" s="8">
        <f>C9+(普通门!E4-C9)*0.25</f>
        <v>112.5</v>
      </c>
      <c r="E9" s="8">
        <f>C9+(普通门!E4-C9)*0.5</f>
        <v>175</v>
      </c>
      <c r="F9" s="8">
        <f>C9+(普通门!E4-C9)*0.75</f>
        <v>237.5</v>
      </c>
      <c r="G9" s="8">
        <f>普通门!E4</f>
        <v>300</v>
      </c>
      <c r="H9" s="5" t="str">
        <f>普通门!F4</f>
        <v>速度</v>
      </c>
      <c r="I9" s="5" t="b">
        <f>普通门!H4</f>
        <v>1</v>
      </c>
      <c r="J9" s="11" t="str">
        <f>普通门!G4</f>
        <v>固定点数提高餐车横移速度</v>
      </c>
    </row>
    <row r="10" spans="1:10" ht="15">
      <c r="A10" s="5" t="str">
        <f>普通门!B5</f>
        <v>餐车改造</v>
      </c>
      <c r="B10" s="5" t="str">
        <f>普通门!C5</f>
        <v>sturdy_cart</v>
      </c>
      <c r="C10" s="8">
        <f>普通门!D5</f>
        <v>5</v>
      </c>
      <c r="D10" s="8">
        <f>C10+(普通门!E5-C10)*0.25</f>
        <v>11.75</v>
      </c>
      <c r="E10" s="8">
        <f>C10+(普通门!E5-C10)*0.5</f>
        <v>18.5</v>
      </c>
      <c r="F10" s="8">
        <f>C10+(普通门!E5-C10)*0.75</f>
        <v>25.25</v>
      </c>
      <c r="G10" s="8">
        <f>普通门!E5</f>
        <v>32</v>
      </c>
      <c r="H10" s="5" t="str">
        <f>普通门!F5</f>
        <v>点</v>
      </c>
      <c r="I10" s="5" t="b">
        <f>普通门!H5</f>
        <v>1</v>
      </c>
      <c r="J10" s="11" t="str">
        <f>普通门!G5</f>
        <v>同时提高当前与最大耐久</v>
      </c>
    </row>
    <row r="11" spans="1:10" ht="15">
      <c r="A11" s="5" t="str">
        <f>普通门!B6</f>
        <v>紧急维修</v>
      </c>
      <c r="B11" s="5" t="str">
        <f>普通门!C6</f>
        <v>repair</v>
      </c>
      <c r="C11" s="8">
        <f>普通门!D6</f>
        <v>0.05</v>
      </c>
      <c r="D11" s="8">
        <f>C11+(普通门!E6-C11)*0.25</f>
        <v>0.13750000000000001</v>
      </c>
      <c r="E11" s="8">
        <f>C11+(普通门!E6-C11)*0.5</f>
        <v>0.22500000000000003</v>
      </c>
      <c r="F11" s="8">
        <f>C11+(普通门!E6-C11)*0.75</f>
        <v>0.3125</v>
      </c>
      <c r="G11" s="8">
        <f>普通门!E6</f>
        <v>0.4</v>
      </c>
      <c r="H11" s="5" t="str">
        <f>普通门!F6</f>
        <v>%</v>
      </c>
      <c r="I11" s="5" t="b">
        <f>普通门!H6</f>
        <v>1</v>
      </c>
      <c r="J11" s="11" t="str">
        <f>普通门!G6</f>
        <v>按最大耐久恢复，溢出转为临时护盾</v>
      </c>
    </row>
    <row r="12" spans="1:10" ht="15">
      <c r="A12" s="5" t="str">
        <f>普通门!B7</f>
        <v>酒</v>
      </c>
      <c r="B12" s="5" t="str">
        <f>普通门!C7</f>
        <v>wine</v>
      </c>
      <c r="C12" s="8">
        <f>普通门!D7</f>
        <v>0.1</v>
      </c>
      <c r="D12" s="8">
        <f>C12+(普通门!E7-C12)*0.25</f>
        <v>0.2</v>
      </c>
      <c r="E12" s="8">
        <f>C12+(普通门!E7-C12)*0.5</f>
        <v>0.30000000000000004</v>
      </c>
      <c r="F12" s="8">
        <f>C12+(普通门!E7-C12)*0.75</f>
        <v>0.4</v>
      </c>
      <c r="G12" s="8">
        <f>普通门!E7</f>
        <v>0.5</v>
      </c>
      <c r="H12" s="5" t="str">
        <f>普通门!F7</f>
        <v>%</v>
      </c>
      <c r="I12" s="5" t="b">
        <f>普通门!H7</f>
        <v>1</v>
      </c>
      <c r="J12" s="11" t="str">
        <f>普通门!G7</f>
        <v>提高投射速度或环绕角速度</v>
      </c>
    </row>
    <row r="13" spans="1:10" ht="15">
      <c r="A13" s="5" t="str">
        <f>普通门!B8</f>
        <v>葱</v>
      </c>
      <c r="B13" s="5" t="str">
        <f>普通门!C8</f>
        <v>scallion</v>
      </c>
      <c r="C13" s="8">
        <f>普通门!D8</f>
        <v>0.1</v>
      </c>
      <c r="D13" s="8">
        <f>C13+(普通门!E8-C13)*0.25</f>
        <v>0.22500000000000001</v>
      </c>
      <c r="E13" s="8">
        <f>C13+(普通门!E8-C13)*0.5</f>
        <v>0.35</v>
      </c>
      <c r="F13" s="8">
        <f>C13+(普通门!E8-C13)*0.75</f>
        <v>0.47499999999999998</v>
      </c>
      <c r="G13" s="8">
        <f>普通门!E8</f>
        <v>0.6</v>
      </c>
      <c r="H13" s="5" t="str">
        <f>普通门!F8</f>
        <v>%</v>
      </c>
      <c r="I13" s="5" t="b">
        <f>普通门!H8</f>
        <v>1</v>
      </c>
      <c r="J13" s="11" t="str">
        <f>普通门!G8</f>
        <v>提高投射体和效果范围</v>
      </c>
    </row>
    <row r="14" spans="1:10" ht="15">
      <c r="A14" s="6" t="str">
        <f>普通门!B9</f>
        <v>淀粉</v>
      </c>
      <c r="B14" s="6" t="str">
        <f>普通门!C9</f>
        <v>starch</v>
      </c>
      <c r="C14" s="9">
        <f>普通门!D9</f>
        <v>0.15</v>
      </c>
      <c r="D14" s="9">
        <f>C14+(普通门!E9-C14)*0.25</f>
        <v>0.3</v>
      </c>
      <c r="E14" s="9">
        <f>C14+(普通门!E9-C14)*0.5</f>
        <v>0.44999999999999996</v>
      </c>
      <c r="F14" s="9">
        <f>C14+(普通门!E9-C14)*0.75</f>
        <v>0.6</v>
      </c>
      <c r="G14" s="9">
        <f>普通门!E9</f>
        <v>0.75</v>
      </c>
      <c r="H14" s="6" t="str">
        <f>普通门!F9</f>
        <v>%</v>
      </c>
      <c r="I14" s="6" t="b">
        <f>普通门!H9</f>
        <v>1</v>
      </c>
      <c r="J14" s="12" t="str">
        <f>普通门!G9</f>
        <v>提高投射或效果持续时间</v>
      </c>
    </row>
    <row r="15" spans="1:10">
      <c r="J15" s="13"/>
    </row>
    <row r="16" spans="1:10" ht="28.05" customHeight="1">
      <c r="A16" s="35" t="s">
        <v>13</v>
      </c>
      <c r="B16" s="35" t="s">
        <v>13</v>
      </c>
      <c r="C16" s="35" t="s">
        <v>13</v>
      </c>
      <c r="D16" s="35" t="s">
        <v>13</v>
      </c>
      <c r="E16" s="35" t="s">
        <v>13</v>
      </c>
      <c r="F16" s="35" t="s">
        <v>13</v>
      </c>
      <c r="G16" s="35" t="s">
        <v>13</v>
      </c>
      <c r="H16" s="35" t="s">
        <v>13</v>
      </c>
      <c r="I16" s="35" t="s">
        <v>13</v>
      </c>
      <c r="J16" s="36" t="s">
        <v>13</v>
      </c>
    </row>
    <row r="17" spans="1:10" ht="30" customHeight="1">
      <c r="A17" s="1" t="s">
        <v>3</v>
      </c>
      <c r="B17" s="1" t="s">
        <v>4</v>
      </c>
      <c r="C17" s="1" t="s">
        <v>5</v>
      </c>
      <c r="D17" s="1" t="s">
        <v>6</v>
      </c>
      <c r="E17" s="1" t="s">
        <v>7</v>
      </c>
      <c r="F17" s="1" t="s">
        <v>8</v>
      </c>
      <c r="G17" s="1" t="s">
        <v>9</v>
      </c>
      <c r="H17" s="1" t="s">
        <v>10</v>
      </c>
      <c r="I17" s="1" t="s">
        <v>11</v>
      </c>
      <c r="J17" s="1" t="s">
        <v>12</v>
      </c>
    </row>
    <row r="18" spans="1:10" ht="15">
      <c r="A18" s="4" t="str">
        <f>食客奖励!B2</f>
        <v>糖</v>
      </c>
      <c r="B18" s="4" t="str">
        <f>食客奖励!C2</f>
        <v>sugar</v>
      </c>
      <c r="C18" s="7">
        <f>食客奖励!D2</f>
        <v>0.05</v>
      </c>
      <c r="D18" s="7">
        <f>C18+(食客奖励!E2-C18)*0.25</f>
        <v>0.15000000000000002</v>
      </c>
      <c r="E18" s="7">
        <f>C18+(食客奖励!E2-C18)*0.5</f>
        <v>0.25</v>
      </c>
      <c r="F18" s="7">
        <f>C18+(食客奖励!E2-C18)*0.75</f>
        <v>0.35000000000000003</v>
      </c>
      <c r="G18" s="7">
        <f>食客奖励!E2</f>
        <v>0.45</v>
      </c>
      <c r="H18" s="4" t="str">
        <f>食客奖励!F2</f>
        <v>%</v>
      </c>
      <c r="I18" s="4" t="b">
        <f>食客奖励!H2</f>
        <v>1</v>
      </c>
      <c r="J18" s="10" t="str">
        <f>食客奖励!G2</f>
        <v>食客奖励门：提高全部食材满足值</v>
      </c>
    </row>
    <row r="19" spans="1:10" ht="15">
      <c r="A19" s="5" t="str">
        <f>食客奖励!B3</f>
        <v>备餐</v>
      </c>
      <c r="B19" s="5" t="str">
        <f>食客奖励!C3</f>
        <v>quick_prep</v>
      </c>
      <c r="C19" s="8">
        <f>食客奖励!D3</f>
        <v>0.02</v>
      </c>
      <c r="D19" s="8">
        <f>C19+(食客奖励!E3-C19)*0.25</f>
        <v>6.5000000000000002E-2</v>
      </c>
      <c r="E19" s="8">
        <f>C19+(食客奖励!E3-C19)*0.5</f>
        <v>0.11000000000000001</v>
      </c>
      <c r="F19" s="8">
        <f>C19+(食客奖励!E3-C19)*0.75</f>
        <v>0.155</v>
      </c>
      <c r="G19" s="8">
        <f>食客奖励!E3</f>
        <v>0.2</v>
      </c>
      <c r="H19" s="5" t="str">
        <f>食客奖励!F3</f>
        <v>%</v>
      </c>
      <c r="I19" s="5" t="b">
        <f>食客奖励!H3</f>
        <v>1</v>
      </c>
      <c r="J19" s="11" t="str">
        <f>食客奖励!G3</f>
        <v>食客奖励门：提高攻击速度</v>
      </c>
    </row>
    <row r="20" spans="1:10" ht="15">
      <c r="A20" s="5" t="str">
        <f>食客奖励!B4</f>
        <v>酒</v>
      </c>
      <c r="B20" s="5" t="str">
        <f>食客奖励!C4</f>
        <v>wine</v>
      </c>
      <c r="C20" s="8">
        <f>食客奖励!D4</f>
        <v>0.1</v>
      </c>
      <c r="D20" s="8">
        <f>C20+(食客奖励!E4-C20)*0.25</f>
        <v>0.2</v>
      </c>
      <c r="E20" s="8">
        <f>C20+(食客奖励!E4-C20)*0.5</f>
        <v>0.30000000000000004</v>
      </c>
      <c r="F20" s="8">
        <f>C20+(食客奖励!E4-C20)*0.75</f>
        <v>0.4</v>
      </c>
      <c r="G20" s="8">
        <f>食客奖励!E4</f>
        <v>0.5</v>
      </c>
      <c r="H20" s="5" t="str">
        <f>食客奖励!F4</f>
        <v>%</v>
      </c>
      <c r="I20" s="5" t="b">
        <f>食客奖励!H4</f>
        <v>1</v>
      </c>
      <c r="J20" s="11" t="str">
        <f>食客奖励!G4</f>
        <v>食客奖励门：提高运动速度</v>
      </c>
    </row>
    <row r="21" spans="1:10" ht="15">
      <c r="A21" s="5" t="str">
        <f>食客奖励!B5</f>
        <v>葱</v>
      </c>
      <c r="B21" s="5" t="str">
        <f>食客奖励!C5</f>
        <v>scallion</v>
      </c>
      <c r="C21" s="8">
        <f>食客奖励!D5</f>
        <v>0.1</v>
      </c>
      <c r="D21" s="8">
        <f>C21+(食客奖励!E5-C21)*0.25</f>
        <v>0.22500000000000001</v>
      </c>
      <c r="E21" s="8">
        <f>C21+(食客奖励!E5-C21)*0.5</f>
        <v>0.35</v>
      </c>
      <c r="F21" s="8">
        <f>C21+(食客奖励!E5-C21)*0.75</f>
        <v>0.47499999999999998</v>
      </c>
      <c r="G21" s="8">
        <f>食客奖励!E5</f>
        <v>0.6</v>
      </c>
      <c r="H21" s="5" t="str">
        <f>食客奖励!F5</f>
        <v>%</v>
      </c>
      <c r="I21" s="5" t="b">
        <f>食客奖励!H5</f>
        <v>1</v>
      </c>
      <c r="J21" s="11" t="str">
        <f>食客奖励!G5</f>
        <v>食客奖励门：提高范围</v>
      </c>
    </row>
    <row r="22" spans="1:10" ht="15">
      <c r="A22" s="5" t="str">
        <f>食客奖励!B6</f>
        <v>淀粉</v>
      </c>
      <c r="B22" s="5" t="str">
        <f>食客奖励!C6</f>
        <v>starch</v>
      </c>
      <c r="C22" s="8">
        <f>食客奖励!D6</f>
        <v>0.15</v>
      </c>
      <c r="D22" s="8">
        <f>C22+(食客奖励!E6-C22)*0.25</f>
        <v>0.3</v>
      </c>
      <c r="E22" s="8">
        <f>C22+(食客奖励!E6-C22)*0.5</f>
        <v>0.44999999999999996</v>
      </c>
      <c r="F22" s="8">
        <f>C22+(食客奖励!E6-C22)*0.75</f>
        <v>0.6</v>
      </c>
      <c r="G22" s="8">
        <f>食客奖励!E6</f>
        <v>0.75</v>
      </c>
      <c r="H22" s="5" t="str">
        <f>食客奖励!F6</f>
        <v>%</v>
      </c>
      <c r="I22" s="5" t="b">
        <f>食客奖励!H6</f>
        <v>1</v>
      </c>
      <c r="J22" s="11" t="str">
        <f>食客奖励!G6</f>
        <v>食客奖励门：提高持续时间</v>
      </c>
    </row>
    <row r="23" spans="1:10" ht="15">
      <c r="A23" s="5" t="str">
        <f>食客奖励!B7</f>
        <v>轻车</v>
      </c>
      <c r="B23" s="5" t="str">
        <f>食客奖励!C7</f>
        <v>light_cart</v>
      </c>
      <c r="C23" s="8">
        <f>食客奖励!D7</f>
        <v>50</v>
      </c>
      <c r="D23" s="8">
        <f>C23+(食客奖励!E7-C23)*0.25</f>
        <v>112.5</v>
      </c>
      <c r="E23" s="8">
        <f>C23+(食客奖励!E7-C23)*0.5</f>
        <v>175</v>
      </c>
      <c r="F23" s="8">
        <f>C23+(食客奖励!E7-C23)*0.75</f>
        <v>237.5</v>
      </c>
      <c r="G23" s="8">
        <f>食客奖励!E7</f>
        <v>300</v>
      </c>
      <c r="H23" s="5" t="str">
        <f>食客奖励!F7</f>
        <v>速度</v>
      </c>
      <c r="I23" s="5" t="b">
        <f>食客奖励!H7</f>
        <v>1</v>
      </c>
      <c r="J23" s="11" t="str">
        <f>食客奖励!G7</f>
        <v>食客奖励门：提高横移速度</v>
      </c>
    </row>
    <row r="24" spans="1:10" ht="15">
      <c r="A24" s="5" t="str">
        <f>食客奖励!B8</f>
        <v>餐车改造</v>
      </c>
      <c r="B24" s="5" t="str">
        <f>食客奖励!C8</f>
        <v>sturdy_cart</v>
      </c>
      <c r="C24" s="8">
        <f>食客奖励!D8</f>
        <v>5</v>
      </c>
      <c r="D24" s="8">
        <f>C24+(食客奖励!E8-C24)*0.25</f>
        <v>11.75</v>
      </c>
      <c r="E24" s="8">
        <f>C24+(食客奖励!E8-C24)*0.5</f>
        <v>18.5</v>
      </c>
      <c r="F24" s="8">
        <f>C24+(食客奖励!E8-C24)*0.75</f>
        <v>25.25</v>
      </c>
      <c r="G24" s="8">
        <f>食客奖励!E8</f>
        <v>32</v>
      </c>
      <c r="H24" s="5" t="str">
        <f>食客奖励!F8</f>
        <v>点</v>
      </c>
      <c r="I24" s="5" t="b">
        <f>食客奖励!H8</f>
        <v>1</v>
      </c>
      <c r="J24" s="11" t="str">
        <f>食客奖励!G8</f>
        <v>食客奖励门：提高当前与最大耐久</v>
      </c>
    </row>
    <row r="25" spans="1:10" ht="15">
      <c r="A25" s="6" t="str">
        <f>食客奖励!B9</f>
        <v>紧急维修</v>
      </c>
      <c r="B25" s="6" t="str">
        <f>食客奖励!C9</f>
        <v>repair</v>
      </c>
      <c r="C25" s="9">
        <f>食客奖励!D9</f>
        <v>0.05</v>
      </c>
      <c r="D25" s="9">
        <f>C25+(食客奖励!E9-C25)*0.25</f>
        <v>0.13750000000000001</v>
      </c>
      <c r="E25" s="9">
        <f>C25+(食客奖励!E9-C25)*0.5</f>
        <v>0.22500000000000003</v>
      </c>
      <c r="F25" s="9">
        <f>C25+(食客奖励!E9-C25)*0.75</f>
        <v>0.3125</v>
      </c>
      <c r="G25" s="9">
        <f>食客奖励!E9</f>
        <v>0.4</v>
      </c>
      <c r="H25" s="6" t="str">
        <f>食客奖励!F9</f>
        <v>%</v>
      </c>
      <c r="I25" s="6" t="b">
        <f>食客奖励!H9</f>
        <v>1</v>
      </c>
      <c r="J25" s="12" t="str">
        <f>食客奖励!G9</f>
        <v>食客奖励门：恢复耐久并提供溢出护盾</v>
      </c>
    </row>
  </sheetData>
  <mergeCells count="4">
    <mergeCell ref="A1:J1"/>
    <mergeCell ref="A2:J3"/>
    <mergeCell ref="A5:J5"/>
    <mergeCell ref="A16:J16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showGridLines="0" tabSelected="1" workbookViewId="0">
      <selection activeCell="G2" sqref="G2"/>
    </sheetView>
  </sheetViews>
  <sheetFormatPr defaultRowHeight="13.8"/>
  <cols>
    <col min="1" max="1" width="20" customWidth="1"/>
    <col min="2" max="3" width="18" customWidth="1"/>
    <col min="4" max="6" width="14" customWidth="1"/>
    <col min="7" max="7" width="56" customWidth="1"/>
    <col min="8" max="8" width="10" customWidth="1"/>
  </cols>
  <sheetData>
    <row r="1" spans="1:8" ht="30" customHeight="1">
      <c r="A1" s="1" t="s">
        <v>14</v>
      </c>
      <c r="B1" s="1" t="s">
        <v>15</v>
      </c>
      <c r="C1" s="1" t="s">
        <v>4</v>
      </c>
      <c r="D1" s="1" t="s">
        <v>16</v>
      </c>
      <c r="E1" s="1" t="s">
        <v>17</v>
      </c>
      <c r="F1" s="1" t="s">
        <v>18</v>
      </c>
      <c r="G1" s="1" t="s">
        <v>12</v>
      </c>
      <c r="H1" s="1" t="s">
        <v>11</v>
      </c>
    </row>
    <row r="2" spans="1:8" ht="34.049999999999997" customHeight="1">
      <c r="A2" s="14" t="s">
        <v>19</v>
      </c>
      <c r="B2" s="14" t="s">
        <v>20</v>
      </c>
      <c r="C2" s="14" t="s">
        <v>19</v>
      </c>
      <c r="D2" s="26">
        <v>0.05</v>
      </c>
      <c r="E2" s="26">
        <v>0.45</v>
      </c>
      <c r="F2" s="17" t="s">
        <v>21</v>
      </c>
      <c r="G2" s="23" t="s">
        <v>81</v>
      </c>
      <c r="H2" s="18" t="b">
        <v>1</v>
      </c>
    </row>
    <row r="3" spans="1:8" ht="34.049999999999997" customHeight="1">
      <c r="A3" s="15" t="s">
        <v>22</v>
      </c>
      <c r="B3" s="15" t="s">
        <v>23</v>
      </c>
      <c r="C3" s="15" t="s">
        <v>22</v>
      </c>
      <c r="D3" s="27">
        <v>0.02</v>
      </c>
      <c r="E3" s="27">
        <v>0.2</v>
      </c>
      <c r="F3" s="19" t="s">
        <v>21</v>
      </c>
      <c r="G3" s="24" t="s">
        <v>24</v>
      </c>
      <c r="H3" s="20" t="b">
        <v>1</v>
      </c>
    </row>
    <row r="4" spans="1:8" ht="34.049999999999997" customHeight="1">
      <c r="A4" s="15" t="s">
        <v>25</v>
      </c>
      <c r="B4" s="15" t="s">
        <v>26</v>
      </c>
      <c r="C4" s="15" t="s">
        <v>25</v>
      </c>
      <c r="D4" s="28">
        <v>50</v>
      </c>
      <c r="E4" s="28">
        <v>300</v>
      </c>
      <c r="F4" s="19" t="s">
        <v>27</v>
      </c>
      <c r="G4" s="24" t="s">
        <v>28</v>
      </c>
      <c r="H4" s="20" t="b">
        <v>1</v>
      </c>
    </row>
    <row r="5" spans="1:8" ht="34.049999999999997" customHeight="1">
      <c r="A5" s="15" t="s">
        <v>29</v>
      </c>
      <c r="B5" s="15" t="s">
        <v>30</v>
      </c>
      <c r="C5" s="15" t="s">
        <v>29</v>
      </c>
      <c r="D5" s="28">
        <v>5</v>
      </c>
      <c r="E5" s="28">
        <v>32</v>
      </c>
      <c r="F5" s="19" t="s">
        <v>31</v>
      </c>
      <c r="G5" s="24" t="s">
        <v>32</v>
      </c>
      <c r="H5" s="20" t="b">
        <v>1</v>
      </c>
    </row>
    <row r="6" spans="1:8" ht="34.049999999999997" customHeight="1">
      <c r="A6" s="15" t="s">
        <v>33</v>
      </c>
      <c r="B6" s="15" t="s">
        <v>34</v>
      </c>
      <c r="C6" s="15" t="s">
        <v>33</v>
      </c>
      <c r="D6" s="27">
        <v>0.05</v>
      </c>
      <c r="E6" s="27">
        <v>0.4</v>
      </c>
      <c r="F6" s="19" t="s">
        <v>21</v>
      </c>
      <c r="G6" s="24" t="s">
        <v>35</v>
      </c>
      <c r="H6" s="20" t="b">
        <v>1</v>
      </c>
    </row>
    <row r="7" spans="1:8" ht="34.049999999999997" customHeight="1">
      <c r="A7" s="15" t="s">
        <v>36</v>
      </c>
      <c r="B7" s="15" t="s">
        <v>37</v>
      </c>
      <c r="C7" s="15" t="s">
        <v>36</v>
      </c>
      <c r="D7" s="27">
        <v>0.1</v>
      </c>
      <c r="E7" s="27">
        <v>0.5</v>
      </c>
      <c r="F7" s="19" t="s">
        <v>21</v>
      </c>
      <c r="G7" s="24" t="s">
        <v>38</v>
      </c>
      <c r="H7" s="20" t="b">
        <v>1</v>
      </c>
    </row>
    <row r="8" spans="1:8" ht="34.049999999999997" customHeight="1">
      <c r="A8" s="15" t="s">
        <v>39</v>
      </c>
      <c r="B8" s="15" t="s">
        <v>40</v>
      </c>
      <c r="C8" s="15" t="s">
        <v>39</v>
      </c>
      <c r="D8" s="27">
        <v>0.1</v>
      </c>
      <c r="E8" s="27">
        <v>0.6</v>
      </c>
      <c r="F8" s="19" t="s">
        <v>21</v>
      </c>
      <c r="G8" s="24" t="s">
        <v>41</v>
      </c>
      <c r="H8" s="20" t="b">
        <v>1</v>
      </c>
    </row>
    <row r="9" spans="1:8" ht="34.049999999999997" customHeight="1">
      <c r="A9" s="16" t="s">
        <v>42</v>
      </c>
      <c r="B9" s="16" t="s">
        <v>43</v>
      </c>
      <c r="C9" s="16" t="s">
        <v>42</v>
      </c>
      <c r="D9" s="29">
        <v>0.15</v>
      </c>
      <c r="E9" s="29">
        <v>0.75</v>
      </c>
      <c r="F9" s="21" t="s">
        <v>21</v>
      </c>
      <c r="G9" s="25" t="s">
        <v>44</v>
      </c>
      <c r="H9" s="22" t="b">
        <v>1</v>
      </c>
    </row>
  </sheetData>
  <phoneticPr fontId="6" type="noConversion"/>
  <dataValidations count="2">
    <dataValidation type="list" sqref="C2:C9" xr:uid="{00000000-0002-0000-0100-000000000000}">
      <formula1>"sugar,quick_prep,wine,scallion,starch,light_cart,sturdy_cart,repair"</formula1>
    </dataValidation>
    <dataValidation type="list" sqref="H2:H9" xr:uid="{00000000-0002-0000-0100-000001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/>
  </sheetViews>
  <sheetFormatPr defaultRowHeight="13.8"/>
  <cols>
    <col min="1" max="1" width="20" customWidth="1"/>
    <col min="2" max="3" width="18" customWidth="1"/>
    <col min="4" max="6" width="14" customWidth="1"/>
    <col min="7" max="7" width="56" customWidth="1"/>
    <col min="8" max="8" width="10" customWidth="1"/>
  </cols>
  <sheetData>
    <row r="1" spans="1:8" ht="30" customHeight="1">
      <c r="A1" s="1" t="s">
        <v>14</v>
      </c>
      <c r="B1" s="1" t="s">
        <v>15</v>
      </c>
      <c r="C1" s="1" t="s">
        <v>4</v>
      </c>
      <c r="D1" s="1" t="s">
        <v>16</v>
      </c>
      <c r="E1" s="1" t="s">
        <v>17</v>
      </c>
      <c r="F1" s="1" t="s">
        <v>18</v>
      </c>
      <c r="G1" s="1" t="s">
        <v>12</v>
      </c>
      <c r="H1" s="1" t="s">
        <v>11</v>
      </c>
    </row>
    <row r="2" spans="1:8" ht="34.049999999999997" customHeight="1">
      <c r="A2" s="14" t="s">
        <v>45</v>
      </c>
      <c r="B2" s="14" t="s">
        <v>20</v>
      </c>
      <c r="C2" s="14" t="s">
        <v>19</v>
      </c>
      <c r="D2" s="26">
        <v>0.05</v>
      </c>
      <c r="E2" s="26">
        <v>0.45</v>
      </c>
      <c r="F2" s="17" t="s">
        <v>21</v>
      </c>
      <c r="G2" s="23" t="s">
        <v>46</v>
      </c>
      <c r="H2" s="18" t="b">
        <v>1</v>
      </c>
    </row>
    <row r="3" spans="1:8" ht="34.049999999999997" customHeight="1">
      <c r="A3" s="15" t="s">
        <v>47</v>
      </c>
      <c r="B3" s="15" t="s">
        <v>48</v>
      </c>
      <c r="C3" s="15" t="s">
        <v>22</v>
      </c>
      <c r="D3" s="27">
        <v>0.02</v>
      </c>
      <c r="E3" s="27">
        <v>0.2</v>
      </c>
      <c r="F3" s="19" t="s">
        <v>21</v>
      </c>
      <c r="G3" s="24" t="s">
        <v>49</v>
      </c>
      <c r="H3" s="20" t="b">
        <v>1</v>
      </c>
    </row>
    <row r="4" spans="1:8" ht="34.049999999999997" customHeight="1">
      <c r="A4" s="15" t="s">
        <v>50</v>
      </c>
      <c r="B4" s="15" t="s">
        <v>37</v>
      </c>
      <c r="C4" s="15" t="s">
        <v>36</v>
      </c>
      <c r="D4" s="27">
        <v>0.1</v>
      </c>
      <c r="E4" s="27">
        <v>0.5</v>
      </c>
      <c r="F4" s="19" t="s">
        <v>21</v>
      </c>
      <c r="G4" s="24" t="s">
        <v>51</v>
      </c>
      <c r="H4" s="20" t="b">
        <v>1</v>
      </c>
    </row>
    <row r="5" spans="1:8" ht="34.049999999999997" customHeight="1">
      <c r="A5" s="15" t="s">
        <v>52</v>
      </c>
      <c r="B5" s="15" t="s">
        <v>40</v>
      </c>
      <c r="C5" s="15" t="s">
        <v>39</v>
      </c>
      <c r="D5" s="27">
        <v>0.1</v>
      </c>
      <c r="E5" s="27">
        <v>0.6</v>
      </c>
      <c r="F5" s="19" t="s">
        <v>21</v>
      </c>
      <c r="G5" s="24" t="s">
        <v>53</v>
      </c>
      <c r="H5" s="20" t="b">
        <v>1</v>
      </c>
    </row>
    <row r="6" spans="1:8" ht="34.049999999999997" customHeight="1">
      <c r="A6" s="15" t="s">
        <v>54</v>
      </c>
      <c r="B6" s="15" t="s">
        <v>43</v>
      </c>
      <c r="C6" s="15" t="s">
        <v>42</v>
      </c>
      <c r="D6" s="27">
        <v>0.15</v>
      </c>
      <c r="E6" s="27">
        <v>0.75</v>
      </c>
      <c r="F6" s="19" t="s">
        <v>21</v>
      </c>
      <c r="G6" s="24" t="s">
        <v>55</v>
      </c>
      <c r="H6" s="20" t="b">
        <v>1</v>
      </c>
    </row>
    <row r="7" spans="1:8" ht="34.049999999999997" customHeight="1">
      <c r="A7" s="15" t="s">
        <v>56</v>
      </c>
      <c r="B7" s="15" t="s">
        <v>57</v>
      </c>
      <c r="C7" s="15" t="s">
        <v>25</v>
      </c>
      <c r="D7" s="28">
        <v>50</v>
      </c>
      <c r="E7" s="28">
        <v>300</v>
      </c>
      <c r="F7" s="19" t="s">
        <v>27</v>
      </c>
      <c r="G7" s="24" t="s">
        <v>58</v>
      </c>
      <c r="H7" s="20" t="b">
        <v>1</v>
      </c>
    </row>
    <row r="8" spans="1:8" ht="34.049999999999997" customHeight="1">
      <c r="A8" s="15" t="s">
        <v>59</v>
      </c>
      <c r="B8" s="15" t="s">
        <v>30</v>
      </c>
      <c r="C8" s="15" t="s">
        <v>29</v>
      </c>
      <c r="D8" s="28">
        <v>5</v>
      </c>
      <c r="E8" s="28">
        <v>32</v>
      </c>
      <c r="F8" s="19" t="s">
        <v>31</v>
      </c>
      <c r="G8" s="24" t="s">
        <v>60</v>
      </c>
      <c r="H8" s="20" t="b">
        <v>1</v>
      </c>
    </row>
    <row r="9" spans="1:8" ht="34.049999999999997" customHeight="1">
      <c r="A9" s="16" t="s">
        <v>61</v>
      </c>
      <c r="B9" s="16" t="s">
        <v>34</v>
      </c>
      <c r="C9" s="16" t="s">
        <v>33</v>
      </c>
      <c r="D9" s="29">
        <v>0.05</v>
      </c>
      <c r="E9" s="29">
        <v>0.4</v>
      </c>
      <c r="F9" s="21" t="s">
        <v>21</v>
      </c>
      <c r="G9" s="25" t="s">
        <v>62</v>
      </c>
      <c r="H9" s="22" t="b">
        <v>1</v>
      </c>
    </row>
  </sheetData>
  <phoneticPr fontId="6" type="noConversion"/>
  <dataValidations count="2">
    <dataValidation type="list" sqref="C2:C9" xr:uid="{00000000-0002-0000-0200-000000000000}">
      <formula1>"sugar,quick_prep,wine,scallion,starch,light_cart,sturdy_cart,repair"</formula1>
    </dataValidation>
    <dataValidation type="list" sqref="H2:H9" xr:uid="{00000000-0002-0000-0200-000001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"/>
  <sheetViews>
    <sheetView showGridLines="0" workbookViewId="0"/>
  </sheetViews>
  <sheetFormatPr defaultRowHeight="13.8"/>
  <cols>
    <col min="1" max="1" width="30" customWidth="1"/>
    <col min="2" max="2" width="34" customWidth="1"/>
    <col min="3" max="3" width="48" customWidth="1"/>
  </cols>
  <sheetData>
    <row r="1" spans="1:3" ht="30" customHeight="1">
      <c r="A1" s="1" t="s">
        <v>63</v>
      </c>
      <c r="B1" s="1" t="s">
        <v>64</v>
      </c>
      <c r="C1" s="1" t="s">
        <v>12</v>
      </c>
    </row>
    <row r="2" spans="1:3" ht="15">
      <c r="A2" s="2" t="s">
        <v>65</v>
      </c>
      <c r="B2" s="14" t="s">
        <v>66</v>
      </c>
      <c r="C2" s="2" t="s">
        <v>67</v>
      </c>
    </row>
    <row r="3" spans="1:3" ht="15">
      <c r="A3" s="3" t="s">
        <v>68</v>
      </c>
      <c r="B3" s="16">
        <v>1</v>
      </c>
      <c r="C3" s="3" t="s">
        <v>69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showGridLines="0" workbookViewId="0">
      <selection activeCell="B9" sqref="B9"/>
    </sheetView>
  </sheetViews>
  <sheetFormatPr defaultRowHeight="13.8"/>
  <cols>
    <col min="1" max="1" width="20" customWidth="1"/>
    <col min="2" max="2" width="94" customWidth="1"/>
  </cols>
  <sheetData>
    <row r="1" spans="1:2" ht="30" customHeight="1">
      <c r="A1" s="1" t="s">
        <v>70</v>
      </c>
      <c r="B1" s="1" t="s">
        <v>12</v>
      </c>
    </row>
    <row r="2" spans="1:2" ht="42" customHeight="1">
      <c r="A2" s="14" t="s">
        <v>71</v>
      </c>
      <c r="B2" s="30" t="s">
        <v>72</v>
      </c>
    </row>
    <row r="3" spans="1:2" ht="42" customHeight="1">
      <c r="A3" s="15" t="s">
        <v>73</v>
      </c>
      <c r="B3" s="31" t="s">
        <v>74</v>
      </c>
    </row>
    <row r="4" spans="1:2" ht="42" customHeight="1">
      <c r="A4" s="15" t="s">
        <v>75</v>
      </c>
      <c r="B4" s="31" t="s">
        <v>76</v>
      </c>
    </row>
    <row r="5" spans="1:2" ht="42" customHeight="1">
      <c r="A5" s="15" t="s">
        <v>77</v>
      </c>
      <c r="B5" s="31" t="s">
        <v>78</v>
      </c>
    </row>
    <row r="6" spans="1:2" ht="42" customHeight="1">
      <c r="A6" s="16" t="s">
        <v>79</v>
      </c>
      <c r="B6" s="32" t="s">
        <v>80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普通强化预览</vt:lpstr>
      <vt:lpstr>普通门</vt:lpstr>
      <vt:lpstr>食客奖励</vt:lpstr>
      <vt:lpstr>配置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塔</cp:lastModifiedBy>
  <dcterms:modified xsi:type="dcterms:W3CDTF">2026-07-28T03:54:05Z</dcterms:modified>
</cp:coreProperties>
</file>