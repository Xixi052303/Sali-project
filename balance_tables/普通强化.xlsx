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3bad5d3f1d4b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普通强化预览" sheetId="1" r:id="R68f7a9f4b150436a"/>
    <x:sheet xmlns:r="http://schemas.openxmlformats.org/officeDocument/2006/relationships" name="普通门" sheetId="2" r:id="Raaa24bf26c554f90"/>
    <x:sheet xmlns:r="http://schemas.openxmlformats.org/officeDocument/2006/relationships" name="食客奖励" sheetId="3" r:id="R831c642c701043a2"/>
    <x:sheet xmlns:r="http://schemas.openxmlformats.org/officeDocument/2006/relationships" name="配置" sheetId="4" r:id="R50235b498ec94af2"/>
    <x:sheet xmlns:r="http://schemas.openxmlformats.org/officeDocument/2006/relationships" name="说明" sheetId="5" r:id="Rf440d12fdb2244a5"/>
  </x:sheets>
</x:workbook>
</file>

<file path=xl/sharedStrings.xml><?xml version="1.0" encoding="utf-8"?>
<x:sst xmlns:x="http://schemas.openxmlformats.org/spreadsheetml/2006/main">
  <x:si>
    <x:t xml:space="preserve">小厨西 · 普通强化预览</x:t>
  </x:si>
  <x:si>
    <x:t xml:space="preserve">强化</x:t>
  </x:si>
  <x:si>
    <x:t xml:space="preserve">类型</x:t>
  </x:si>
  <x:si>
    <x:t xml:space="preserve">最小</x:t>
  </x:si>
  <x:si>
    <x:t xml:space="preserve">25%分位</x:t>
  </x:si>
  <x:si>
    <x:t xml:space="preserve">50%分位</x:t>
  </x:si>
  <x:si>
    <x:t xml:space="preserve">75%分位</x:t>
  </x:si>
  <x:si>
    <x:t xml:space="preserve">最大</x:t>
  </x:si>
  <x:si>
    <x:t xml:space="preserve">后缀</x:t>
  </x:si>
  <x:si>
    <x:t xml:space="preserve">启用</x:t>
  </x:si>
  <x:si>
    <x:t xml:space="preserve">门牌描述模板</x:t>
  </x:si>
  <x:si>
    <x:t xml:space="preserve">强化ID</x:t>
  </x:si>
  <x:si>
    <x:t xml:space="preserve">显示名称</x:t>
  </x:si>
  <x:si>
    <x:t xml:space="preserve">最小值</x:t>
  </x:si>
  <x:si>
    <x:t xml:space="preserve">最大值</x:t>
  </x:si>
  <x:si>
    <x:t xml:space="preserve">显示后缀</x:t>
  </x:si>
  <x:si>
    <x:t xml:space="preserve">sugar</x:t>
  </x:si>
  <x:si>
    <x:t xml:space="preserve">糖</x:t>
  </x:si>
  <x:si>
    <x:t xml:space="preserve">%</x:t>
  </x:si>
  <x:si>
    <x:t xml:space="preserve">饱腹度 {value}</x:t>
  </x:si>
  <x:si>
    <x:t xml:space="preserve">quick_prep</x:t>
  </x:si>
  <x:si>
    <x:t xml:space="preserve">快速备餐</x:t>
  </x:si>
  <x:si>
    <x:t xml:space="preserve">攻速 {value}</x:t>
  </x:si>
  <x:si>
    <x:t xml:space="preserve">light_cart</x:t>
  </x:si>
  <x:si>
    <x:t xml:space="preserve">轻便餐车</x:t>
  </x:si>
  <x:si>
    <x:t xml:space="preserve">速度</x:t>
  </x:si>
  <x:si>
    <x:t xml:space="preserve">移速 {value}</x:t>
  </x:si>
  <x:si>
    <x:t xml:space="preserve">sturdy_cart</x:t>
  </x:si>
  <x:si>
    <x:t xml:space="preserve">餐车改造</x:t>
  </x:si>
  <x:si>
    <x:t xml:space="preserve">点</x:t>
  </x:si>
  <x:si>
    <x:t xml:space="preserve">耐久 {value}</x:t>
  </x:si>
  <x:si>
    <x:t xml:space="preserve">repair</x:t>
  </x:si>
  <x:si>
    <x:t xml:space="preserve">紧急维修</x:t>
  </x:si>
  <x:si>
    <x:t xml:space="preserve">恢复/护盾 {repair_points}</x:t>
  </x:si>
  <x:si>
    <x:t xml:space="preserve">wine</x:t>
  </x:si>
  <x:si>
    <x:t xml:space="preserve">酒</x:t>
  </x:si>
  <x:si>
    <x:t xml:space="preserve">运动速度 {value}</x:t>
  </x:si>
  <x:si>
    <x:t xml:space="preserve">scallion</x:t>
  </x:si>
  <x:si>
    <x:t xml:space="preserve">葱</x:t>
  </x:si>
  <x:si>
    <x:t xml:space="preserve">范围 {value}</x:t>
  </x:si>
  <x:si>
    <x:t xml:space="preserve">starch</x:t>
  </x:si>
  <x:si>
    <x:t xml:space="preserve">淀粉</x:t>
  </x:si>
  <x:si>
    <x:t xml:space="preserve">持续 {value}</x:t>
  </x:si>
  <x:si>
    <x:t xml:space="preserve">参数ID</x:t>
  </x:si>
  <x:si>
    <x:t xml:space="preserve">数值</x:t>
  </x:si>
  <x:si>
    <x:t xml:space="preserve">说明</x:t>
  </x:si>
  <x:si>
    <x:t xml:space="preserve">schema_id</x:t>
  </x:si>
  <x:si>
    <x:t xml:space="preserve">xiaochuxi.normal_upgrades</x:t>
  </x:si>
  <x:si>
    <x:t xml:space="preserve">普通强化表结构标识，请勿修改</x:t>
  </x:si>
  <x:si>
    <x:t xml:space="preserve">schema_version</x:t>
  </x:si>
  <x:si>
    <x:t xml:space="preserve">结构版本，请勿修改</x:t>
  </x:si>
  <x:si>
    <x:t xml:space="preserve">项目</x:t>
  </x:si>
  <x:si>
    <x:t xml:space="preserve">生效方式</x:t>
  </x:si>
  <x:si>
    <x:t xml:space="preserve">百分比输入</x:t>
  </x:si>
  <x:si>
    <x:t xml:space="preserve">百分号强化使用真实小数，例如 5% 填 0.05；Excel 显示为百分号不改变存储值。</x:t>
  </x:si>
  <x:si>
    <x:t xml:space="preserve">门牌文案</x:t>
  </x:si>
  <x:si>
    <x:t xml:space="preserve">启用限制</x:t>
  </x:si>
  <x:si>
    <x:t xml:space="preserve">失败回退</x:t>
  </x:si>
</x:sst>
</file>

<file path=xl/styles.xml><?xml version="1.0" encoding="utf-8"?>
<x:styleSheet xmlns:x="http://schemas.openxmlformats.org/spreadsheetml/2006/main">
  <x:numFmts count="2">
    <x:numFmt numFmtId="200" formatCode="0.00%"/>
    <x:numFmt numFmtId="201" formatCode="0.00"/>
  </x:numFmts>
  <x:fonts count="11">
    <x:font>
      <x:sz val="11"/>
      <x:name val="Carlito"/>
    </x:font>
    <x:font>
      <x:b/>
      <x:sz val="18"/>
      <x:color rgb="FFFFFFFF"/>
      <x:name val="Microsoft YaHei"/>
    </x:font>
    <x:font>
      <x:sz val="10"/>
      <x:color rgb="FF243238"/>
      <x:name val="Microsoft YaHei"/>
    </x:font>
    <x:font>
      <x:b/>
      <x:sz val="11"/>
      <x:color rgb="FFFFFFFF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b/>
      <x:sz val="16"/>
      <x:color rgb="FFFFFFFF"/>
      <x:name val="Carlito"/>
    </x:font>
    <x:font>
      <x:sz val="11"/>
      <x:color rgb="FF334E56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243238"/>
      </x:patternFill>
    </x:fill>
    <x:fill>
      <x:patternFill patternType="solid">
        <x:fgColor rgb="FFF5F7F6"/>
      </x:patternFill>
    </x:fill>
    <x:fill>
      <x:patternFill patternType="solid">
        <x:fgColor rgb="FF2D6F6A"/>
      </x:patternFill>
    </x:fill>
    <x:fill>
      <x:patternFill patternType="solid">
        <x:fgColor rgb="FFE7F0F8"/>
      </x:patternFill>
    </x:fill>
    <x:fill>
      <x:patternFill patternType="solid">
        <x:fgColor rgb="FFE8F3EC"/>
      </x:patternFill>
    </x:fill>
    <x:fill>
      <x:patternFill patternType="solid">
        <x:fgColor rgb="FFFFF3CD"/>
      </x:patternFill>
    </x:fill>
    <x:fill>
      <x:patternFill patternType="solid">
        <x:fgColor rgb="FF20343B"/>
      </x:patternFill>
    </x:fill>
    <x:fill>
      <x:patternFill patternType="solid">
        <x:fgColor rgb="FFE8F1F2"/>
      </x:patternFill>
    </x:fill>
    <x:fill>
      <x:patternFill patternType="solid">
        <x:fgColor rgb="FFE8F3EC"/>
      </x:patternFill>
    </x:fill>
    <x:fill>
      <x:patternFill patternType="solid">
        <x:fgColor rgb="FFD9EEF7"/>
      </x:patternFill>
    </x:fill>
    <x:fill>
      <x:patternFill patternType="solid">
        <x:fgColor rgb="FF317C73"/>
      </x:patternFill>
    </x:fill>
    <x:fill>
      <x:patternFill patternType="solid">
        <x:fgColor rgb="FFEEF4F7"/>
      </x:patternFill>
    </x:fill>
  </x:fills>
  <x:borders count="5">
    <x:border/>
    <x:border>
      <x:bottom style="thin">
        <x:color rgb="FFD7DDD9"/>
      </x:bottom>
    </x:border>
    <x:border>
      <x:top style="thin">
        <x:color rgb="FFD7DDD9"/>
      </x:top>
      <x:bottom style="thin">
        <x:color rgb="FFD7DDD9"/>
      </x:bottom>
    </x:border>
    <x:border>
      <x:top style="thin">
        <x:color rgb="FFD7DDD9"/>
      </x:top>
    </x:border>
    <x:border>
      <x:left style="thin">
        <x:color rgb="FFC7D2D6"/>
      </x:left>
      <x:right style="thin">
        <x:color rgb="FFC7D2D6"/>
      </x:right>
      <x:top style="thin">
        <x:color rgb="FFC7D2D6"/>
      </x:top>
      <x:bottom style="thin">
        <x:color rgb="FFC7D2D6"/>
      </x:bottom>
    </x:border>
  </x:borders>
  <x:cellStyleXfs count="2">
    <x:xf numFmtId="0" fontId="0" fillId="0" borderId="0"/>
    <x:xf numFmtId="0" fontId="5" fillId="0" borderId="0"/>
  </x:cellStyleXfs>
  <x:cellXfs count="68">
    <x:xf numFmtId="0" fontId="0" fillId="0" borderId="0" xfId="0"/>
    <x:xf numFmtId="0" fontId="4" fillId="2" borderId="0" xfId="1" applyFont="1" applyFill="1" applyAlignment="1">
      <x:alignment horizontal="center" vertical="center" wrapText="1"/>
    </x:xf>
    <x:xf numFmtId="0" fontId="2" fillId="0" borderId="1" xfId="1" applyFont="1" applyBorder="1" applyAlignment="1">
      <x:alignment vertical="center"/>
    </x:xf>
    <x:xf numFmtId="0" fontId="2" fillId="0" borderId="3" xfId="1" applyFont="1" applyBorder="1" applyAlignment="1">
      <x:alignment vertical="center"/>
    </x:xf>
    <x:xf numFmtId="0" fontId="2" fillId="5" borderId="1" xfId="1" applyFont="1" applyFill="1" applyBorder="1" applyAlignment="1">
      <x:alignment vertical="center"/>
    </x:xf>
    <x:xf numFmtId="0" fontId="2" fillId="5" borderId="2" xfId="1" applyFont="1" applyFill="1" applyBorder="1" applyAlignment="1">
      <x:alignment vertical="center"/>
    </x:xf>
    <x:xf numFmtId="0" fontId="2" fillId="5" borderId="3" xfId="1" applyFont="1" applyFill="1" applyBorder="1" applyAlignment="1">
      <x:alignment vertical="center"/>
    </x:xf>
    <x:xf numFmtId="2" fontId="2" fillId="5" borderId="1" xfId="1" applyNumberFormat="1" applyFont="1" applyFill="1" applyBorder="1" applyAlignment="1">
      <x:alignment vertical="center"/>
    </x:xf>
    <x:xf numFmtId="2" fontId="2" fillId="5" borderId="2" xfId="1" applyNumberFormat="1" applyFont="1" applyFill="1" applyBorder="1" applyAlignment="1">
      <x:alignment vertical="center"/>
    </x:xf>
    <x:xf numFmtId="2" fontId="2" fillId="5" borderId="3" xfId="1" applyNumberFormat="1" applyFont="1" applyFill="1" applyBorder="1" applyAlignment="1">
      <x:alignment vertical="center"/>
    </x:xf>
    <x:xf numFmtId="0" fontId="2" fillId="5" borderId="1" xfId="1" applyFont="1" applyFill="1" applyBorder="1" applyAlignment="1">
      <x:alignment vertical="center" wrapText="1"/>
    </x:xf>
    <x:xf numFmtId="0" fontId="2" fillId="5" borderId="2" xfId="1" applyFont="1" applyFill="1" applyBorder="1" applyAlignment="1">
      <x:alignment vertical="center" wrapText="1"/>
    </x:xf>
    <x:xf numFmtId="0" fontId="2" fillId="5" borderId="3" xfId="1" applyFont="1" applyFill="1" applyBorder="1" applyAlignment="1">
      <x:alignment vertical="center" wrapText="1"/>
    </x:xf>
    <x:xf numFmtId="0" fontId="0" fillId="0" borderId="0" xfId="1" applyFont="1" applyAlignment="1">
      <x:alignment wrapText="1"/>
    </x:xf>
    <x:xf numFmtId="0" fontId="2" fillId="6" borderId="1" xfId="1" applyFont="1" applyFill="1" applyBorder="1" applyAlignment="1">
      <x:alignment vertical="center"/>
    </x:xf>
    <x:xf numFmtId="0" fontId="2" fillId="6" borderId="2" xfId="1" applyFont="1" applyFill="1" applyBorder="1" applyAlignment="1">
      <x:alignment vertical="center"/>
    </x:xf>
    <x:xf numFmtId="0" fontId="2" fillId="6" borderId="3" xfId="1" applyFont="1" applyFill="1" applyBorder="1" applyAlignment="1">
      <x:alignment vertical="center"/>
    </x:xf>
    <x:xf numFmtId="0" fontId="2" fillId="7" borderId="1" xfId="1" applyFont="1" applyFill="1" applyBorder="1" applyAlignment="1">
      <x:alignment vertical="center"/>
    </x:xf>
    <x:xf numFmtId="0" fontId="2" fillId="7" borderId="2" xfId="1" applyFont="1" applyFill="1" applyBorder="1" applyAlignment="1">
      <x:alignment vertical="center"/>
    </x:xf>
    <x:xf numFmtId="0" fontId="2" fillId="7" borderId="3" xfId="1" applyFont="1" applyFill="1" applyBorder="1" applyAlignment="1">
      <x:alignment vertical="center"/>
    </x:xf>
    <x:xf numFmtId="0" fontId="2" fillId="7" borderId="1" xfId="1" applyFont="1" applyFill="1" applyBorder="1" applyAlignment="1">
      <x:alignment vertical="center" wrapText="1"/>
    </x:xf>
    <x:xf numFmtId="0" fontId="2" fillId="7" borderId="2" xfId="1" applyFont="1" applyFill="1" applyBorder="1" applyAlignment="1">
      <x:alignment vertical="center" wrapText="1"/>
    </x:xf>
    <x:xf numFmtId="0" fontId="2" fillId="7" borderId="3" xfId="1" applyFont="1" applyFill="1" applyBorder="1" applyAlignment="1">
      <x:alignment vertical="center" wrapText="1"/>
    </x:xf>
    <x:xf numFmtId="9" fontId="2" fillId="7" borderId="1" xfId="1" applyNumberFormat="1" applyFont="1" applyFill="1" applyBorder="1" applyAlignment="1">
      <x:alignment vertical="center"/>
    </x:xf>
    <x:xf numFmtId="9" fontId="2" fillId="7" borderId="2" xfId="1" applyNumberFormat="1" applyFont="1" applyFill="1" applyBorder="1" applyAlignment="1">
      <x:alignment vertical="center"/>
    </x:xf>
    <x:xf numFmtId="2" fontId="2" fillId="7" borderId="2" xfId="1" applyNumberFormat="1" applyFont="1" applyFill="1" applyBorder="1" applyAlignment="1">
      <x:alignment vertical="center"/>
    </x:xf>
    <x:xf numFmtId="9" fontId="2" fillId="7" borderId="3" xfId="1" applyNumberFormat="1" applyFont="1" applyFill="1" applyBorder="1" applyAlignment="1">
      <x:alignment vertical="center"/>
    </x:xf>
    <x:xf numFmtId="0" fontId="2" fillId="0" borderId="1" xfId="1" applyFont="1" applyBorder="1" applyAlignment="1">
      <x:alignment vertical="center" wrapText="1"/>
    </x:xf>
    <x:xf numFmtId="0" fontId="2" fillId="0" borderId="2" xfId="1" applyFont="1" applyBorder="1" applyAlignment="1">
      <x:alignment vertical="center" wrapText="1"/>
    </x:xf>
    <x:xf numFmtId="0" fontId="2" fillId="0" borderId="3" xfId="1" applyFont="1" applyBorder="1" applyAlignment="1">
      <x:alignment vertical="center" wrapText="1"/>
    </x:xf>
    <x:xf numFmtId="0" fontId="1" fillId="2" borderId="0" xfId="1" applyFont="1" applyFill="1" applyAlignment="1">
      <x:alignment vertical="center"/>
    </x:xf>
    <x:xf numFmtId="0" fontId="0" fillId="0" borderId="0" xfId="0"/>
    <x:xf numFmtId="0" fontId="3" fillId="4" borderId="0" xfId="1" applyFont="1" applyFill="1" applyAlignment="1">
      <x:alignment vertical="center"/>
    </x:xf>
    <x:xf numFmtId="0" fontId="2" fillId="3" borderId="0" xfId="1" applyFont="1" applyFill="1" applyAlignment="1">
      <x:alignment vertical="center" wrapText="1"/>
    </x:xf>
    <x:xf numFmtId="200" fontId="2" fillId="5" borderId="1" xfId="0" applyNumberFormat="1" applyFont="1" applyFill="1" applyBorder="1" applyAlignment="1">
      <x:alignment vertical="center"/>
    </x:xf>
    <x:xf numFmtId="200" fontId="2" fillId="5" borderId="2" xfId="0" applyNumberFormat="1" applyFont="1" applyFill="1" applyBorder="1" applyAlignment="1">
      <x:alignment vertical="center"/>
    </x:xf>
    <x:xf numFmtId="201" fontId="2" fillId="5" borderId="2" xfId="0" applyNumberFormat="1" applyFont="1" applyFill="1" applyBorder="1" applyAlignment="1">
      <x:alignment vertical="center"/>
    </x:xf>
    <x:xf numFmtId="200" fontId="2" fillId="5" borderId="3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0" fillId="11" borderId="0" xfId="0" applyNumberFormat="1" applyFont="1" applyFill="1" applyBorder="1"/>
    <x:xf numFmtId="0" fontId="9" fillId="8" borderId="4" xfId="0" applyNumberFormat="1" applyFont="1" applyFill="1" applyBorder="1"/>
    <x:xf numFmtId="0" fontId="10" fillId="10" borderId="4" xfId="0" applyNumberFormat="1" applyFont="1" applyFill="1" applyBorder="1"/>
    <x:xf numFmtId="0" fontId="0" fillId="11" borderId="4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0" fillId="13" borderId="0" xfId="0" applyNumberFormat="1" applyFont="1" applyFill="1" applyBorder="1"/>
    <x:xf numFmtId="0" fontId="0" fillId="10" borderId="4" xfId="0" applyNumberFormat="1" applyFont="1" applyFill="1" applyBorder="1"/>
    <x:xf numFmtId="0" fontId="0" fillId="13" borderId="4" xfId="0" applyNumberFormat="1" applyFont="1" applyFill="1" applyBorder="1"/>
    <x:xf numFmtId="200" fontId="0" fillId="13" borderId="4" xfId="0" applyNumberFormat="1" applyFont="1" applyFill="1" applyBorder="1"/>
    <x:xf numFmtId="201" fontId="0" fillId="13" borderId="4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9" fillId="8" borderId="4" xfId="0" applyNumberFormat="1" applyFont="1" applyFill="1" applyBorder="1" applyAlignment="1">
      <x:alignment vertical="center"/>
    </x:xf>
    <x:xf numFmtId="0" fontId="10" fillId="10" borderId="4" xfId="0" applyNumberFormat="1" applyFont="1" applyFill="1" applyBorder="1" applyAlignment="1">
      <x:alignment vertical="center"/>
    </x:xf>
    <x:xf numFmtId="0" fontId="0" fillId="11" borderId="4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0" fillId="10" borderId="4" xfId="0" applyNumberFormat="1" applyFont="1" applyFill="1" applyBorder="1" applyAlignment="1">
      <x:alignment vertical="center"/>
    </x:xf>
    <x:xf numFmtId="200" fontId="0" fillId="13" borderId="4" xfId="0" applyNumberFormat="1" applyFont="1" applyFill="1" applyBorder="1" applyAlignment="1">
      <x:alignment vertical="center"/>
    </x:xf>
    <x:xf numFmtId="0" fontId="0" fillId="13" borderId="4" xfId="0" applyNumberFormat="1" applyFont="1" applyFill="1" applyBorder="1" applyAlignment="1">
      <x:alignment vertical="center"/>
    </x:xf>
    <x:xf numFmtId="201" fontId="0" fillId="13" borderId="4" xfId="0" applyNumberFormat="1" applyFont="1" applyFill="1" applyBorder="1" applyAlignment="1">
      <x:alignment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f8ed6fe7c34ac4" /><Relationship Type="http://schemas.openxmlformats.org/officeDocument/2006/relationships/theme" Target="/xl/theme/theme1.xml" Id="R07c77b835bbc4849" /><Relationship Type="http://schemas.openxmlformats.org/officeDocument/2006/relationships/sharedStrings" Target="/xl/sharedStrings.xml" Id="R1401d217bac64cba" /><Relationship Type="http://schemas.openxmlformats.org/officeDocument/2006/relationships/worksheet" Target="/xl/worksheets/sheet1.xml" Id="R68f7a9f4b150436a" /><Relationship Type="http://schemas.openxmlformats.org/officeDocument/2006/relationships/worksheet" Target="/xl/worksheets/sheet2.xml" Id="Raaa24bf26c554f90" /><Relationship Type="http://schemas.openxmlformats.org/officeDocument/2006/relationships/worksheet" Target="/xl/worksheets/sheet3.xml" Id="R831c642c701043a2" /><Relationship Type="http://schemas.openxmlformats.org/officeDocument/2006/relationships/worksheet" Target="/xl/worksheets/sheet4.xml" Id="R50235b498ec94af2" /><Relationship Type="http://schemas.openxmlformats.org/officeDocument/2006/relationships/worksheet" Target="/xl/worksheets/sheet5.xml" Id="Rf440d12fdb2244a5" /></Relationships>
</file>

<file path=xl/tables/table1.xml><?xml version="1.0" encoding="utf-8"?>
<x:table xmlns:x="http://schemas.openxmlformats.org/spreadsheetml/2006/main" id="1" name="NormalGateUpgradeTable" displayName="NormalGateUpgradeTable" ref="A1:H9" totalsRowShown="0">
  <x:tableColumns count="8">
    <x:tableColumn id="1" name="强化ID"/>
    <x:tableColumn id="2" name="显示名称"/>
    <x:tableColumn id="3" name="类型"/>
    <x:tableColumn id="4" name="最小值"/>
    <x:tableColumn id="5" name="最大值"/>
    <x:tableColumn id="6" name="显示后缀"/>
    <x:tableColumn id="7" name="门牌描述模板"/>
    <x:tableColumn id="8" name="启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xiaochuxi_normal_upgrades_config" displayName="xiaochuxi_normal_upgrades_config" ref="A1:C3" totalsRowShown="0">
  <x:tableColumns count="3">
    <x:tableColumn id="1" name="参数ID"/>
    <x:tableColumn id="2" name="数值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NormalUpgradeNotesTable" displayName="NormalUpgradeNotesTable" ref="A1:B6" totalsRowShown="0"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e8dcca0a9a4a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e2a4dc5336b4e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70a87735dc44c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8" customWidth="1"/>
    <x:col min="3" max="3" width="13" customWidth="1"/>
    <x:col min="4" max="6" width="14" customWidth="1"/>
    <x:col min="7" max="7" width="13" customWidth="1"/>
    <x:col min="8" max="8" width="12" customWidth="1"/>
    <x:col min="9" max="9" width="11" customWidth="1"/>
    <x:col min="10" max="10" width="52" customWidth="1"/>
  </x:cols>
  <x:sheetData>
    <x:row r="1" ht="37.95000076293945" customHeight="1">
      <x:c r="A1" s="30" t="s">
        <x:v>0</x:v>
      </x:c>
      <x:c r="B1" s="31"/>
      <x:c r="C1" s="31"/>
      <x:c r="D1" s="31"/>
      <x:c r="E1" s="31"/>
      <x:c r="F1" s="31"/>
      <x:c r="G1" s="31"/>
      <x:c r="H1" s="31"/>
      <x:c r="I1" s="31"/>
      <x:c r="J1" s="31"/>
    </x:row>
    <x:row r="2">
      <x:c r="A2" s="33" t="str">
        <x:v>普通门与食客奖励共用“普通门”工作表中的启用候选。普通门随机无放回抽 2 项，食客奖励随机抽 1 项；抽中后各自独立生成数值百分位。</x:v>
      </x:c>
      <x:c r="B2" s="31"/>
      <x:c r="C2" s="31"/>
      <x:c r="D2" s="31"/>
      <x:c r="E2" s="31"/>
      <x:c r="F2" s="31"/>
      <x:c r="G2" s="31"/>
      <x:c r="H2" s="31"/>
      <x:c r="I2" s="31"/>
      <x:c r="J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  <x:c r="J3" s="31"/>
    </x:row>
    <x:row r="5" ht="28.049999237060547" customHeight="1">
      <x:c r="A5" s="32" t="str">
        <x:v>普通门 / 食客奖励共用候选池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30" customHeight="1">
      <x:c r="A6" s="1" t="s">
        <x:v>1</x:v>
      </x:c>
      <x:c r="B6" s="1" t="s">
        <x:v>2</x:v>
      </x:c>
      <x:c r="C6" s="1" t="s">
        <x:v>3</x:v>
      </x:c>
      <x:c r="D6" s="1" t="s">
        <x:v>4</x:v>
      </x:c>
      <x:c r="E6" s="1" t="s">
        <x:v>5</x:v>
      </x:c>
      <x:c r="F6" s="1" t="s">
        <x:v>6</x:v>
      </x:c>
      <x:c r="G6" s="1" t="s">
        <x:v>7</x:v>
      </x:c>
      <x:c r="H6" s="1" t="s">
        <x:v>8</x:v>
      </x:c>
      <x:c r="I6" s="1" t="s">
        <x:v>9</x:v>
      </x:c>
      <x:c r="J6" s="1" t="s">
        <x:v>10</x:v>
      </x:c>
    </x:row>
    <x:row r="7" ht="15" customHeight="1">
      <x:c r="A7" s="4" t="str">
        <x:f>'普通门'!B2</x:f>
        <x:v>糖</x:v>
      </x:c>
      <x:c r="B7" s="4" t="str">
        <x:f>'普通门'!C2</x:f>
        <x:v>sugar</x:v>
      </x:c>
      <x:c r="C7" s="34" t="n">
        <x:f>'普通门'!D2</x:f>
        <x:v>0.05</x:v>
      </x:c>
      <x:c r="D7" s="34" t="n">
        <x:f>C7+(G7-C7)*25%</x:f>
        <x:v>0.15000000000000002</x:v>
      </x:c>
      <x:c r="E7" s="34" t="n">
        <x:f>C7+(G7-C7)*50%</x:f>
        <x:v>0.25</x:v>
      </x:c>
      <x:c r="F7" s="34" t="n">
        <x:f>C7+(G7-C7)*75%</x:f>
        <x:v>0.35000000000000003</x:v>
      </x:c>
      <x:c r="G7" s="34" t="n">
        <x:f>'普通门'!E2</x:f>
        <x:v>0.45</x:v>
      </x:c>
      <x:c r="H7" s="4" t="str">
        <x:f>'普通门'!F2</x:f>
        <x:v>%</x:v>
      </x:c>
      <x:c r="I7" s="4" t="b">
        <x:f>'普通门'!H2</x:f>
        <x:v>1</x:v>
      </x:c>
      <x:c r="J7" s="10" t="str">
        <x:f>'普通门'!G2</x:f>
        <x:v>饱腹度 {value}</x:v>
      </x:c>
    </x:row>
    <x:row r="8" ht="15" customHeight="1">
      <x:c r="A8" s="5" t="str">
        <x:f>'普通门'!B3</x:f>
        <x:v>快速备餐</x:v>
      </x:c>
      <x:c r="B8" s="5" t="str">
        <x:f>'普通门'!C3</x:f>
        <x:v>quick_prep</x:v>
      </x:c>
      <x:c r="C8" s="35" t="n">
        <x:f>'普通门'!D3</x:f>
        <x:v>0.02</x:v>
      </x:c>
      <x:c r="D8" s="35" t="n">
        <x:f>C8+(G8-C8)*25%</x:f>
        <x:v>0.065</x:v>
      </x:c>
      <x:c r="E8" s="35" t="n">
        <x:f>C8+(G8-C8)*50%</x:f>
        <x:v>0.11000000000000001</x:v>
      </x:c>
      <x:c r="F8" s="35" t="n">
        <x:f>C8+(G8-C8)*75%</x:f>
        <x:v>0.155</x:v>
      </x:c>
      <x:c r="G8" s="35" t="n">
        <x:f>'普通门'!E3</x:f>
        <x:v>0.2</x:v>
      </x:c>
      <x:c r="H8" s="5" t="str">
        <x:f>'普通门'!F3</x:f>
        <x:v>%</x:v>
      </x:c>
      <x:c r="I8" s="5" t="b">
        <x:f>'普通门'!H3</x:f>
        <x:v>1</x:v>
      </x:c>
      <x:c r="J8" s="11" t="str">
        <x:f>'普通门'!G3</x:f>
        <x:v>攻速 {value}</x:v>
      </x:c>
    </x:row>
    <x:row r="9" ht="15" customHeight="1">
      <x:c r="A9" s="5" t="str">
        <x:f>'普通门'!B4</x:f>
        <x:v>轻便餐车</x:v>
      </x:c>
      <x:c r="B9" s="5" t="str">
        <x:f>'普通门'!C4</x:f>
        <x:v>light_cart</x:v>
      </x:c>
      <x:c r="C9" s="36" t="n">
        <x:f>'普通门'!D4</x:f>
        <x:v>50</x:v>
      </x:c>
      <x:c r="D9" s="36" t="n">
        <x:f>C9+(G9-C9)*25%</x:f>
        <x:v>112.5</x:v>
      </x:c>
      <x:c r="E9" s="36" t="n">
        <x:f>C9+(G9-C9)*50%</x:f>
        <x:v>175</x:v>
      </x:c>
      <x:c r="F9" s="36" t="n">
        <x:f>C9+(G9-C9)*75%</x:f>
        <x:v>237.5</x:v>
      </x:c>
      <x:c r="G9" s="36" t="n">
        <x:f>'普通门'!E4</x:f>
        <x:v>300</x:v>
      </x:c>
      <x:c r="H9" s="5" t="str">
        <x:f>'普通门'!F4</x:f>
        <x:v>速度</x:v>
      </x:c>
      <x:c r="I9" s="5" t="b">
        <x:f>'普通门'!H4</x:f>
        <x:v>1</x:v>
      </x:c>
      <x:c r="J9" s="11" t="str">
        <x:f>'普通门'!G4</x:f>
        <x:v>移速 {value}</x:v>
      </x:c>
    </x:row>
    <x:row r="10" ht="15" customHeight="1">
      <x:c r="A10" s="5" t="str">
        <x:f>'普通门'!B5</x:f>
        <x:v>餐车改造</x:v>
      </x:c>
      <x:c r="B10" s="5" t="str">
        <x:f>'普通门'!C5</x:f>
        <x:v>sturdy_cart</x:v>
      </x:c>
      <x:c r="C10" s="36" t="n">
        <x:f>'普通门'!D5</x:f>
        <x:v>5</x:v>
      </x:c>
      <x:c r="D10" s="36" t="n">
        <x:f>C10+(G10-C10)*25%</x:f>
        <x:v>11.75</x:v>
      </x:c>
      <x:c r="E10" s="36" t="n">
        <x:f>C10+(G10-C10)*50%</x:f>
        <x:v>18.5</x:v>
      </x:c>
      <x:c r="F10" s="36" t="n">
        <x:f>C10+(G10-C10)*75%</x:f>
        <x:v>25.25</x:v>
      </x:c>
      <x:c r="G10" s="36" t="n">
        <x:f>'普通门'!E5</x:f>
        <x:v>32</x:v>
      </x:c>
      <x:c r="H10" s="5" t="str">
        <x:f>'普通门'!F5</x:f>
        <x:v>点</x:v>
      </x:c>
      <x:c r="I10" s="5" t="b">
        <x:f>'普通门'!H5</x:f>
        <x:v>1</x:v>
      </x:c>
      <x:c r="J10" s="11" t="str">
        <x:f>'普通门'!G5</x:f>
        <x:v>耐久 {value}</x:v>
      </x:c>
    </x:row>
    <x:row r="11" ht="15" customHeight="1">
      <x:c r="A11" s="5" t="str">
        <x:f>'普通门'!B6</x:f>
        <x:v>紧急维修</x:v>
      </x:c>
      <x:c r="B11" s="5" t="str">
        <x:f>'普通门'!C6</x:f>
        <x:v>repair</x:v>
      </x:c>
      <x:c r="C11" s="35" t="n">
        <x:f>'普通门'!D6</x:f>
        <x:v>0.05</x:v>
      </x:c>
      <x:c r="D11" s="35" t="n">
        <x:f>C11+(G11-C11)*25%</x:f>
        <x:v>0.1375</x:v>
      </x:c>
      <x:c r="E11" s="35" t="n">
        <x:f>C11+(G11-C11)*50%</x:f>
        <x:v>0.22500000000000003</x:v>
      </x:c>
      <x:c r="F11" s="35" t="n">
        <x:f>C11+(G11-C11)*75%</x:f>
        <x:v>0.3125</x:v>
      </x:c>
      <x:c r="G11" s="35" t="n">
        <x:f>'普通门'!E6</x:f>
        <x:v>0.4</x:v>
      </x:c>
      <x:c r="H11" s="5" t="str">
        <x:f>'普通门'!F6</x:f>
        <x:v>%</x:v>
      </x:c>
      <x:c r="I11" s="5" t="b">
        <x:f>'普通门'!H6</x:f>
        <x:v>1</x:v>
      </x:c>
      <x:c r="J11" s="11" t="str">
        <x:f>'普通门'!G6</x:f>
        <x:v>恢复/护盾 {repair_points}</x:v>
      </x:c>
    </x:row>
    <x:row r="12" ht="15" customHeight="1">
      <x:c r="A12" s="5" t="str">
        <x:f>'普通门'!B7</x:f>
        <x:v>酒</x:v>
      </x:c>
      <x:c r="B12" s="5" t="str">
        <x:f>'普通门'!C7</x:f>
        <x:v>wine</x:v>
      </x:c>
      <x:c r="C12" s="35" t="n">
        <x:f>'普通门'!D7</x:f>
        <x:v>0.1</x:v>
      </x:c>
      <x:c r="D12" s="35" t="n">
        <x:f>C12+(G12-C12)*25%</x:f>
        <x:v>0.2</x:v>
      </x:c>
      <x:c r="E12" s="35" t="n">
        <x:f>C12+(G12-C12)*50%</x:f>
        <x:v>0.30000000000000004</x:v>
      </x:c>
      <x:c r="F12" s="35" t="n">
        <x:f>C12+(G12-C12)*75%</x:f>
        <x:v>0.4</x:v>
      </x:c>
      <x:c r="G12" s="35" t="n">
        <x:f>'普通门'!E7</x:f>
        <x:v>0.5</x:v>
      </x:c>
      <x:c r="H12" s="5" t="str">
        <x:f>'普通门'!F7</x:f>
        <x:v>%</x:v>
      </x:c>
      <x:c r="I12" s="5" t="b">
        <x:f>'普通门'!H7</x:f>
        <x:v>1</x:v>
      </x:c>
      <x:c r="J12" s="11" t="str">
        <x:f>'普通门'!G7</x:f>
        <x:v>运动速度 {value}</x:v>
      </x:c>
    </x:row>
    <x:row r="13" ht="15" customHeight="1">
      <x:c r="A13" s="5" t="str">
        <x:f>'普通门'!B8</x:f>
        <x:v>葱</x:v>
      </x:c>
      <x:c r="B13" s="5" t="str">
        <x:f>'普通门'!C8</x:f>
        <x:v>scallion</x:v>
      </x:c>
      <x:c r="C13" s="35" t="n">
        <x:f>'普通门'!D8</x:f>
        <x:v>0.1</x:v>
      </x:c>
      <x:c r="D13" s="35" t="n">
        <x:f>C13+(G13-C13)*25%</x:f>
        <x:v>0.225</x:v>
      </x:c>
      <x:c r="E13" s="35" t="n">
        <x:f>C13+(G13-C13)*50%</x:f>
        <x:v>0.35</x:v>
      </x:c>
      <x:c r="F13" s="35" t="n">
        <x:f>C13+(G13-C13)*75%</x:f>
        <x:v>0.475</x:v>
      </x:c>
      <x:c r="G13" s="35" t="n">
        <x:f>'普通门'!E8</x:f>
        <x:v>0.6</x:v>
      </x:c>
      <x:c r="H13" s="5" t="str">
        <x:f>'普通门'!F8</x:f>
        <x:v>%</x:v>
      </x:c>
      <x:c r="I13" s="5" t="b">
        <x:f>'普通门'!H8</x:f>
        <x:v>1</x:v>
      </x:c>
      <x:c r="J13" s="11" t="str">
        <x:f>'普通门'!G8</x:f>
        <x:v>范围 {value}</x:v>
      </x:c>
    </x:row>
    <x:row r="14" ht="15" customHeight="1">
      <x:c r="A14" s="6" t="str">
        <x:f>'普通门'!B9</x:f>
        <x:v>淀粉</x:v>
      </x:c>
      <x:c r="B14" s="6" t="str">
        <x:f>'普通门'!C9</x:f>
        <x:v>starch</x:v>
      </x:c>
      <x:c r="C14" s="37" t="n">
        <x:f>'普通门'!D9</x:f>
        <x:v>0.15</x:v>
      </x:c>
      <x:c r="D14" s="37" t="n">
        <x:f>C14+(G14-C14)*25%</x:f>
        <x:v>0.3</x:v>
      </x:c>
      <x:c r="E14" s="37" t="n">
        <x:f>C14+(G14-C14)*50%</x:f>
        <x:v>0.44999999999999996</x:v>
      </x:c>
      <x:c r="F14" s="37" t="n">
        <x:f>C14+(G14-C14)*75%</x:f>
        <x:v>0.6</x:v>
      </x:c>
      <x:c r="G14" s="37" t="n">
        <x:f>'普通门'!E9</x:f>
        <x:v>0.75</x:v>
      </x:c>
      <x:c r="H14" s="6" t="str">
        <x:f>'普通门'!F9</x:f>
        <x:v>%</x:v>
      </x:c>
      <x:c r="I14" s="6" t="b">
        <x:f>'普通门'!H9</x:f>
        <x:v>1</x:v>
      </x:c>
      <x:c r="J14" s="12" t="str">
        <x:f>'普通门'!G9</x:f>
        <x:v>持续 {value}</x:v>
      </x:c>
    </x:row>
    <x:row r="15">
      <x:c r="J15"/>
    </x:row>
    <x:row r="16" ht="28.049999237060547" customHeight="1">
      <x:c r="A16"/>
      <x:c r="B16"/>
      <x:c r="C16"/>
      <x:c r="D16"/>
      <x:c r="E16"/>
      <x:c r="F16"/>
      <x:c r="G16"/>
      <x:c r="H16"/>
      <x:c r="I16"/>
      <x:c r="J16"/>
    </x:row>
    <x:row r="17" ht="30" customHeight="1">
      <x:c r="A17"/>
      <x:c r="B17"/>
      <x:c r="C17"/>
      <x:c r="D17"/>
      <x:c r="E17"/>
      <x:c r="F17"/>
      <x:c r="G17"/>
      <x:c r="H17"/>
      <x:c r="I17"/>
      <x:c r="J17"/>
    </x:row>
    <x:row r="18" ht="15" customHeight="1">
      <x:c r="A18"/>
      <x:c r="B18"/>
      <x:c r="C18"/>
      <x:c r="D18"/>
      <x:c r="E18"/>
      <x:c r="F18"/>
      <x:c r="G18"/>
      <x:c r="H18"/>
      <x:c r="I18"/>
      <x:c r="J18"/>
    </x:row>
    <x:row r="19" ht="15" customHeight="1">
      <x:c r="A19"/>
      <x:c r="B19"/>
      <x:c r="C19"/>
      <x:c r="D19"/>
      <x:c r="E19"/>
      <x:c r="F19"/>
      <x:c r="G19"/>
      <x:c r="H19"/>
      <x:c r="I19"/>
      <x:c r="J19"/>
    </x:row>
    <x:row r="20" ht="15" customHeight="1">
      <x:c r="A20"/>
      <x:c r="B20"/>
      <x:c r="C20"/>
      <x:c r="D20"/>
      <x:c r="E20"/>
      <x:c r="F20"/>
      <x:c r="G20"/>
      <x:c r="H20"/>
      <x:c r="I20"/>
      <x:c r="J20"/>
    </x:row>
    <x:row r="21" ht="15" customHeight="1">
      <x:c r="A21"/>
      <x:c r="B21"/>
      <x:c r="C21"/>
      <x:c r="D21"/>
      <x:c r="E21"/>
      <x:c r="F21"/>
      <x:c r="G21"/>
      <x:c r="H21"/>
      <x:c r="I21"/>
      <x:c r="J21"/>
    </x:row>
    <x:row r="22" ht="15" customHeight="1">
      <x:c r="A22"/>
      <x:c r="B22"/>
      <x:c r="C22"/>
      <x:c r="D22"/>
      <x:c r="E22"/>
      <x:c r="F22"/>
      <x:c r="G22"/>
      <x:c r="H22"/>
      <x:c r="I22"/>
      <x:c r="J22"/>
    </x:row>
    <x:row r="23" ht="15" customHeight="1">
      <x:c r="A23"/>
      <x:c r="B23"/>
      <x:c r="C23"/>
      <x:c r="D23"/>
      <x:c r="E23"/>
      <x:c r="F23"/>
      <x:c r="G23"/>
      <x:c r="H23"/>
      <x:c r="I23"/>
      <x:c r="J23"/>
    </x:row>
    <x:row r="24" ht="15" customHeight="1">
      <x:c r="A24"/>
      <x:c r="B24"/>
      <x:c r="C24"/>
      <x:c r="D24"/>
      <x:c r="E24"/>
      <x:c r="F24"/>
      <x:c r="G24"/>
      <x:c r="H24"/>
      <x:c r="I24"/>
      <x:c r="J24"/>
    </x:row>
    <x:row r="25" ht="15" customHeight="1">
      <x:c r="A25"/>
      <x:c r="B25"/>
      <x:c r="C25"/>
      <x:c r="D25"/>
      <x:c r="E25"/>
      <x:c r="F25"/>
      <x:c r="G25"/>
      <x:c r="H25"/>
      <x:c r="I25"/>
      <x:c r="J25"/>
    </x:row>
  </x:sheetData>
  <x:mergeCells>
    <x:mergeCell ref="A1:J1"/>
    <x:mergeCell ref="A5:J5"/>
    <x:mergeCell ref="A2:J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3" width="18" customWidth="1"/>
    <x:col min="4" max="6" width="14" customWidth="1"/>
    <x:col min="7" max="7" width="56" customWidth="1"/>
    <x:col min="8" max="8" width="10" customWidth="1"/>
  </x:cols>
  <x:sheetData>
    <x:row r="1" ht="30" customHeight="1">
      <x:c r="A1" s="1" t="s">
        <x:v>11</x:v>
      </x:c>
      <x:c r="B1" s="1" t="s">
        <x:v>12</x:v>
      </x:c>
      <x:c r="C1" s="1" t="s">
        <x:v>2</x:v>
      </x:c>
      <x:c r="D1" s="1" t="s">
        <x:v>13</x:v>
      </x:c>
      <x:c r="E1" s="1" t="s">
        <x:v>14</x:v>
      </x:c>
      <x:c r="F1" s="1" t="s">
        <x:v>15</x:v>
      </x:c>
      <x:c r="G1" s="1" t="s">
        <x:v>10</x:v>
      </x:c>
      <x:c r="H1" s="1" t="s">
        <x:v>9</x:v>
      </x:c>
    </x:row>
    <x:row r="2" ht="34.04999923706055" customHeight="1">
      <x:c r="A2" s="14" t="s">
        <x:v>16</x:v>
      </x:c>
      <x:c r="B2" s="14" t="s">
        <x:v>17</x:v>
      </x:c>
      <x:c r="C2" s="14" t="s">
        <x:v>16</x:v>
      </x:c>
      <x:c r="D2" s="23">
        <x:v>0.05</x:v>
      </x:c>
      <x:c r="E2" s="23">
        <x:v>0.45</x:v>
      </x:c>
      <x:c r="F2" s="17" t="s">
        <x:v>18</x:v>
      </x:c>
      <x:c r="G2" s="20" t="s">
        <x:v>19</x:v>
      </x:c>
      <x:c r="H2" s="17" t="b">
        <x:v>1</x:v>
      </x:c>
    </x:row>
    <x:row r="3" ht="34.04999923706055" customHeight="1">
      <x:c r="A3" s="15" t="s">
        <x:v>20</x:v>
      </x:c>
      <x:c r="B3" s="15" t="s">
        <x:v>21</x:v>
      </x:c>
      <x:c r="C3" s="15" t="s">
        <x:v>20</x:v>
      </x:c>
      <x:c r="D3" s="24">
        <x:v>0.02</x:v>
      </x:c>
      <x:c r="E3" s="24">
        <x:v>0.2</x:v>
      </x:c>
      <x:c r="F3" s="18" t="s">
        <x:v>18</x:v>
      </x:c>
      <x:c r="G3" s="21" t="s">
        <x:v>22</x:v>
      </x:c>
      <x:c r="H3" s="18" t="b">
        <x:v>1</x:v>
      </x:c>
    </x:row>
    <x:row r="4" ht="34.04999923706055" customHeight="1">
      <x:c r="A4" s="15" t="s">
        <x:v>23</x:v>
      </x:c>
      <x:c r="B4" s="15" t="s">
        <x:v>24</x:v>
      </x:c>
      <x:c r="C4" s="15" t="s">
        <x:v>23</x:v>
      </x:c>
      <x:c r="D4" s="25">
        <x:v>50</x:v>
      </x:c>
      <x:c r="E4" s="25">
        <x:v>300</x:v>
      </x:c>
      <x:c r="F4" s="18" t="s">
        <x:v>25</x:v>
      </x:c>
      <x:c r="G4" s="21" t="s">
        <x:v>26</x:v>
      </x:c>
      <x:c r="H4" s="18" t="b">
        <x:v>1</x:v>
      </x:c>
    </x:row>
    <x:row r="5" ht="34.04999923706055" customHeight="1">
      <x:c r="A5" s="15" t="s">
        <x:v>27</x:v>
      </x:c>
      <x:c r="B5" s="15" t="s">
        <x:v>28</x:v>
      </x:c>
      <x:c r="C5" s="15" t="s">
        <x:v>27</x:v>
      </x:c>
      <x:c r="D5" s="25">
        <x:v>5</x:v>
      </x:c>
      <x:c r="E5" s="25">
        <x:v>32</x:v>
      </x:c>
      <x:c r="F5" s="18" t="s">
        <x:v>29</x:v>
      </x:c>
      <x:c r="G5" s="21" t="s">
        <x:v>30</x:v>
      </x:c>
      <x:c r="H5" s="18" t="b">
        <x:v>1</x:v>
      </x:c>
    </x:row>
    <x:row r="6" ht="34.04999923706055" customHeight="1">
      <x:c r="A6" s="15" t="s">
        <x:v>31</x:v>
      </x:c>
      <x:c r="B6" s="15" t="s">
        <x:v>32</x:v>
      </x:c>
      <x:c r="C6" s="15" t="s">
        <x:v>31</x:v>
      </x:c>
      <x:c r="D6" s="24">
        <x:v>0.05</x:v>
      </x:c>
      <x:c r="E6" s="24">
        <x:v>0.4</x:v>
      </x:c>
      <x:c r="F6" s="18" t="s">
        <x:v>18</x:v>
      </x:c>
      <x:c r="G6" s="21" t="s">
        <x:v>33</x:v>
      </x:c>
      <x:c r="H6" s="18" t="b">
        <x:v>1</x:v>
      </x:c>
    </x:row>
    <x:row r="7" ht="34.04999923706055" customHeight="1">
      <x:c r="A7" s="15" t="s">
        <x:v>34</x:v>
      </x:c>
      <x:c r="B7" s="15" t="s">
        <x:v>35</x:v>
      </x:c>
      <x:c r="C7" s="15" t="s">
        <x:v>34</x:v>
      </x:c>
      <x:c r="D7" s="24">
        <x:v>0.1</x:v>
      </x:c>
      <x:c r="E7" s="24">
        <x:v>0.5</x:v>
      </x:c>
      <x:c r="F7" s="18" t="s">
        <x:v>18</x:v>
      </x:c>
      <x:c r="G7" s="21" t="s">
        <x:v>36</x:v>
      </x:c>
      <x:c r="H7" s="18" t="b">
        <x:v>1</x:v>
      </x:c>
    </x:row>
    <x:row r="8" ht="34.04999923706055" customHeight="1">
      <x:c r="A8" s="15" t="s">
        <x:v>37</x:v>
      </x:c>
      <x:c r="B8" s="15" t="s">
        <x:v>38</x:v>
      </x:c>
      <x:c r="C8" s="15" t="s">
        <x:v>37</x:v>
      </x:c>
      <x:c r="D8" s="24">
        <x:v>0.1</x:v>
      </x:c>
      <x:c r="E8" s="24">
        <x:v>0.6</x:v>
      </x:c>
      <x:c r="F8" s="18" t="s">
        <x:v>18</x:v>
      </x:c>
      <x:c r="G8" s="21" t="s">
        <x:v>39</x:v>
      </x:c>
      <x:c r="H8" s="18" t="b">
        <x:v>1</x:v>
      </x:c>
    </x:row>
    <x:row r="9" ht="34.04999923706055" customHeight="1">
      <x:c r="A9" s="16" t="s">
        <x:v>40</x:v>
      </x:c>
      <x:c r="B9" s="16" t="s">
        <x:v>41</x:v>
      </x:c>
      <x:c r="C9" s="16" t="s">
        <x:v>40</x:v>
      </x:c>
      <x:c r="D9" s="26">
        <x:v>0.15</x:v>
      </x:c>
      <x:c r="E9" s="26">
        <x:v>0.75</x:v>
      </x:c>
      <x:c r="F9" s="19" t="s">
        <x:v>18</x:v>
      </x:c>
      <x:c r="G9" s="22" t="s">
        <x:v>42</x:v>
      </x:c>
      <x:c r="H9" s="19" t="b">
        <x:v>1</x:v>
      </x:c>
    </x:row>
  </x:sheetData>
  <x:dataValidations count="2">
    <x:dataValidation type="list" sqref="C2:C9">
      <x:formula1>"sugar,quick_prep,wine,scallion,starch,light_cart,sturdy_cart,repair"</x:formula1>
    </x:dataValidation>
    <x:dataValidation type="list" sqref="H2:H9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e8dcca0a9a4a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hidden="0" customWidth="1"/>
    <x:col min="2" max="3" width="18" customWidth="1"/>
    <x:col min="4" max="6" width="14" customWidth="1"/>
    <x:col min="7" max="7" width="32" hidden="0" customWidth="1"/>
    <x:col min="8" max="8" width="10" hidden="0" customWidth="1"/>
    <x:col min="2" max="2" width="22" hidden="0" customWidth="1"/>
    <x:col min="3" max="3" width="18" hidden="0" customWidth="1"/>
    <x:col min="4" max="4" width="13" hidden="0" customWidth="1"/>
    <x:col min="5" max="5" width="13" hidden="0" customWidth="1"/>
    <x:col min="6" max="6" width="14" hidden="0" customWidth="1"/>
  </x:cols>
  <x:sheetData>
    <x:row r="1" ht="30" customHeight="1">
      <x:c r="A1" s="40" t="str">
        <x:v>食客奖励 · 共用普通强化池</x:v>
      </x:c>
      <x:c r="B1" s="40"/>
      <x:c r="C1" s="40"/>
      <x:c r="D1" s="40"/>
      <x:c r="E1" s="40"/>
      <x:c r="F1" s="40"/>
      <x:c r="G1" s="40"/>
      <x:c r="H1" s="40"/>
    </x:row>
    <x:row r="2" ht="32" customHeight="1">
      <x:c r="A2" s="44" t="str">
        <x:v>本页不再维护独立抽选池。食客奖励直接从“普通门”工作表的启用项中随机抽取 1 项。</x:v>
      </x:c>
      <x:c r="B2" s="44"/>
      <x:c r="C2" s="44"/>
      <x:c r="D2" s="44"/>
      <x:c r="E2" s="44"/>
      <x:c r="F2" s="44"/>
      <x:c r="G2" s="44"/>
      <x:c r="H2" s="44"/>
    </x:row>
    <x:row r="3" ht="34.04999923706055" customHeight="1">
      <x:c r="A3" s="59"/>
      <x:c r="B3" s="59"/>
      <x:c r="C3" s="59"/>
      <x:c r="D3" s="59"/>
      <x:c r="E3" s="59"/>
      <x:c r="F3" s="59"/>
      <x:c r="G3" s="59"/>
      <x:c r="H3" s="59"/>
    </x:row>
    <x:row r="4" ht="34.04999923706055" customHeight="1">
      <x:c r="A4" s="60" t="str">
        <x:v>项目</x:v>
      </x:c>
      <x:c r="B4" s="60" t="str">
        <x:v>规则</x:v>
      </x:c>
      <x:c r="C4" s="59"/>
      <x:c r="D4" s="59"/>
      <x:c r="E4" s="59"/>
      <x:c r="F4" s="59"/>
      <x:c r="G4" s="59"/>
      <x:c r="H4" s="59"/>
    </x:row>
    <x:row r="5" ht="34.04999923706055" customHeight="1">
      <x:c r="A5" s="61" t="str">
        <x:v>数据来源</x:v>
      </x:c>
      <x:c r="B5" s="62" t="str">
        <x:v>“普通门”工作表中启用的候选</x:v>
      </x:c>
      <x:c r="C5" s="59"/>
      <x:c r="D5" s="59"/>
      <x:c r="E5" s="59"/>
      <x:c r="F5" s="59"/>
      <x:c r="G5" s="59"/>
      <x:c r="H5" s="59"/>
    </x:row>
    <x:row r="6" ht="34.04999923706055" customHeight="1">
      <x:c r="A6" s="61" t="str">
        <x:v>抽选数量</x:v>
      </x:c>
      <x:c r="B6" s="62" t="str">
        <x:v>每名普通食客随机抽取 1 项</x:v>
      </x:c>
      <x:c r="C6" s="59"/>
      <x:c r="D6" s="59"/>
      <x:c r="E6" s="59"/>
      <x:c r="F6" s="59"/>
      <x:c r="G6" s="59"/>
      <x:c r="H6" s="59"/>
    </x:row>
    <x:row r="7" ht="34.04999923706055" customHeight="1">
      <x:c r="A7" s="61" t="str">
        <x:v>数值生成</x:v>
      </x:c>
      <x:c r="B7" s="62" t="str">
        <x:v>抽中后独立随机数值百分位</x:v>
      </x:c>
      <x:c r="C7" s="59"/>
      <x:c r="D7" s="59"/>
      <x:c r="E7" s="59"/>
      <x:c r="F7" s="59"/>
      <x:c r="G7" s="59"/>
      <x:c r="H7" s="59"/>
    </x:row>
    <x:row r="8" ht="34.04999923706055" customHeight="1">
      <x:c r="A8" s="61" t="str">
        <x:v>修改入口</x:v>
      </x:c>
      <x:c r="B8" s="62" t="str">
        <x:v>只修改“普通门”工作表，本页无需编辑</x:v>
      </x:c>
      <x:c r="C8" s="59"/>
      <x:c r="D8" s="59"/>
      <x:c r="E8" s="59"/>
      <x:c r="F8" s="59"/>
      <x:c r="G8" s="59"/>
      <x:c r="H8" s="59"/>
    </x:row>
    <x:row r="9" ht="34.04999923706055" customHeight="1">
      <x:c r="A9" s="59"/>
      <x:c r="B9" s="59"/>
      <x:c r="C9" s="59"/>
      <x:c r="D9" s="59"/>
      <x:c r="E9" s="59"/>
      <x:c r="F9" s="59"/>
      <x:c r="G9" s="59"/>
      <x:c r="H9" s="59"/>
    </x:row>
    <x:row r="10">
      <x:c r="A10" s="63" t="str">
        <x:v>当前共用候选池（只读镜像）</x:v>
      </x:c>
      <x:c r="B10" s="63"/>
      <x:c r="C10" s="63"/>
      <x:c r="D10" s="63"/>
      <x:c r="E10" s="63"/>
      <x:c r="F10" s="63"/>
      <x:c r="G10" s="63"/>
      <x:c r="H10" s="63"/>
    </x:row>
    <x:row r="11">
      <x:c r="A11" s="60" t="str">
        <x:v>强化ID</x:v>
      </x:c>
      <x:c r="B11" s="60" t="str">
        <x:v>显示名称</x:v>
      </x:c>
      <x:c r="C11" s="60" t="str">
        <x:v>类型</x:v>
      </x:c>
      <x:c r="D11" s="60" t="str">
        <x:v>最小值</x:v>
      </x:c>
      <x:c r="E11" s="60" t="str">
        <x:v>最大值</x:v>
      </x:c>
      <x:c r="F11" s="60" t="str">
        <x:v>显示后缀</x:v>
      </x:c>
      <x:c r="G11" s="60" t="str">
        <x:v>门牌描述模板</x:v>
      </x:c>
      <x:c r="H11" s="60" t="str">
        <x:v>启用</x:v>
      </x:c>
    </x:row>
    <x:row r="12">
      <x:c r="A12" s="64" t="str">
        <x:f>'普通门'!A2</x:f>
        <x:v>sugar</x:v>
      </x:c>
      <x:c r="B12" s="64" t="str">
        <x:f>'普通门'!B2</x:f>
        <x:v>糖</x:v>
      </x:c>
      <x:c r="C12" s="64" t="str">
        <x:f>'普通门'!C2</x:f>
        <x:v>sugar</x:v>
      </x:c>
      <x:c r="D12" s="65" t="n">
        <x:f>'普通门'!D2</x:f>
        <x:v>0.05</x:v>
      </x:c>
      <x:c r="E12" s="65" t="n">
        <x:f>'普通门'!E2</x:f>
        <x:v>0.45</x:v>
      </x:c>
      <x:c r="F12" s="66" t="str">
        <x:f>'普通门'!F2</x:f>
        <x:v>%</x:v>
      </x:c>
      <x:c r="G12" s="66" t="str">
        <x:f>'普通门'!G2</x:f>
        <x:v>饱腹度 {value}</x:v>
      </x:c>
      <x:c r="H12" s="66" t="b">
        <x:f>'普通门'!H2</x:f>
        <x:v>1</x:v>
      </x:c>
    </x:row>
    <x:row r="13">
      <x:c r="A13" s="64" t="str">
        <x:f>'普通门'!A3</x:f>
        <x:v>quick_prep</x:v>
      </x:c>
      <x:c r="B13" s="64" t="str">
        <x:f>'普通门'!B3</x:f>
        <x:v>快速备餐</x:v>
      </x:c>
      <x:c r="C13" s="64" t="str">
        <x:f>'普通门'!C3</x:f>
        <x:v>quick_prep</x:v>
      </x:c>
      <x:c r="D13" s="65" t="n">
        <x:f>'普通门'!D3</x:f>
        <x:v>0.02</x:v>
      </x:c>
      <x:c r="E13" s="65" t="n">
        <x:f>'普通门'!E3</x:f>
        <x:v>0.2</x:v>
      </x:c>
      <x:c r="F13" s="66" t="str">
        <x:f>'普通门'!F3</x:f>
        <x:v>%</x:v>
      </x:c>
      <x:c r="G13" s="66" t="str">
        <x:f>'普通门'!G3</x:f>
        <x:v>攻速 {value}</x:v>
      </x:c>
      <x:c r="H13" s="66" t="b">
        <x:f>'普通门'!H3</x:f>
        <x:v>1</x:v>
      </x:c>
    </x:row>
    <x:row r="14">
      <x:c r="A14" s="64" t="str">
        <x:f>'普通门'!A4</x:f>
        <x:v>light_cart</x:v>
      </x:c>
      <x:c r="B14" s="64" t="str">
        <x:f>'普通门'!B4</x:f>
        <x:v>轻便餐车</x:v>
      </x:c>
      <x:c r="C14" s="64" t="str">
        <x:f>'普通门'!C4</x:f>
        <x:v>light_cart</x:v>
      </x:c>
      <x:c r="D14" s="67" t="n">
        <x:f>'普通门'!D4</x:f>
        <x:v>50</x:v>
      </x:c>
      <x:c r="E14" s="67" t="n">
        <x:f>'普通门'!E4</x:f>
        <x:v>300</x:v>
      </x:c>
      <x:c r="F14" s="66" t="str">
        <x:f>'普通门'!F4</x:f>
        <x:v>速度</x:v>
      </x:c>
      <x:c r="G14" s="66" t="str">
        <x:f>'普通门'!G4</x:f>
        <x:v>移速 {value}</x:v>
      </x:c>
      <x:c r="H14" s="66" t="b">
        <x:f>'普通门'!H4</x:f>
        <x:v>1</x:v>
      </x:c>
    </x:row>
    <x:row r="15">
      <x:c r="A15" s="64" t="str">
        <x:f>'普通门'!A5</x:f>
        <x:v>sturdy_cart</x:v>
      </x:c>
      <x:c r="B15" s="64" t="str">
        <x:f>'普通门'!B5</x:f>
        <x:v>餐车改造</x:v>
      </x:c>
      <x:c r="C15" s="64" t="str">
        <x:f>'普通门'!C5</x:f>
        <x:v>sturdy_cart</x:v>
      </x:c>
      <x:c r="D15" s="67" t="n">
        <x:f>'普通门'!D5</x:f>
        <x:v>5</x:v>
      </x:c>
      <x:c r="E15" s="67" t="n">
        <x:f>'普通门'!E5</x:f>
        <x:v>32</x:v>
      </x:c>
      <x:c r="F15" s="66" t="str">
        <x:f>'普通门'!F5</x:f>
        <x:v>点</x:v>
      </x:c>
      <x:c r="G15" s="66" t="str">
        <x:f>'普通门'!G5</x:f>
        <x:v>耐久 {value}</x:v>
      </x:c>
      <x:c r="H15" s="66" t="b">
        <x:f>'普通门'!H5</x:f>
        <x:v>1</x:v>
      </x:c>
    </x:row>
    <x:row r="16">
      <x:c r="A16" s="64" t="str">
        <x:f>'普通门'!A6</x:f>
        <x:v>repair</x:v>
      </x:c>
      <x:c r="B16" s="64" t="str">
        <x:f>'普通门'!B6</x:f>
        <x:v>紧急维修</x:v>
      </x:c>
      <x:c r="C16" s="64" t="str">
        <x:f>'普通门'!C6</x:f>
        <x:v>repair</x:v>
      </x:c>
      <x:c r="D16" s="65" t="n">
        <x:f>'普通门'!D6</x:f>
        <x:v>0.05</x:v>
      </x:c>
      <x:c r="E16" s="65" t="n">
        <x:f>'普通门'!E6</x:f>
        <x:v>0.4</x:v>
      </x:c>
      <x:c r="F16" s="66" t="str">
        <x:f>'普通门'!F6</x:f>
        <x:v>%</x:v>
      </x:c>
      <x:c r="G16" s="66" t="str">
        <x:f>'普通门'!G6</x:f>
        <x:v>恢复/护盾 {repair_points}</x:v>
      </x:c>
      <x:c r="H16" s="66" t="b">
        <x:f>'普通门'!H6</x:f>
        <x:v>1</x:v>
      </x:c>
    </x:row>
    <x:row r="17">
      <x:c r="A17" s="64" t="str">
        <x:f>'普通门'!A7</x:f>
        <x:v>wine</x:v>
      </x:c>
      <x:c r="B17" s="64" t="str">
        <x:f>'普通门'!B7</x:f>
        <x:v>酒</x:v>
      </x:c>
      <x:c r="C17" s="64" t="str">
        <x:f>'普通门'!C7</x:f>
        <x:v>wine</x:v>
      </x:c>
      <x:c r="D17" s="65" t="n">
        <x:f>'普通门'!D7</x:f>
        <x:v>0.1</x:v>
      </x:c>
      <x:c r="E17" s="65" t="n">
        <x:f>'普通门'!E7</x:f>
        <x:v>0.5</x:v>
      </x:c>
      <x:c r="F17" s="66" t="str">
        <x:f>'普通门'!F7</x:f>
        <x:v>%</x:v>
      </x:c>
      <x:c r="G17" s="66" t="str">
        <x:f>'普通门'!G7</x:f>
        <x:v>运动速度 {value}</x:v>
      </x:c>
      <x:c r="H17" s="66" t="b">
        <x:f>'普通门'!H7</x:f>
        <x:v>1</x:v>
      </x:c>
    </x:row>
    <x:row r="18">
      <x:c r="A18" s="64" t="str">
        <x:f>'普通门'!A8</x:f>
        <x:v>scallion</x:v>
      </x:c>
      <x:c r="B18" s="64" t="str">
        <x:f>'普通门'!B8</x:f>
        <x:v>葱</x:v>
      </x:c>
      <x:c r="C18" s="64" t="str">
        <x:f>'普通门'!C8</x:f>
        <x:v>scallion</x:v>
      </x:c>
      <x:c r="D18" s="65" t="n">
        <x:f>'普通门'!D8</x:f>
        <x:v>0.1</x:v>
      </x:c>
      <x:c r="E18" s="65" t="n">
        <x:f>'普通门'!E8</x:f>
        <x:v>0.6</x:v>
      </x:c>
      <x:c r="F18" s="66" t="str">
        <x:f>'普通门'!F8</x:f>
        <x:v>%</x:v>
      </x:c>
      <x:c r="G18" s="66" t="str">
        <x:f>'普通门'!G8</x:f>
        <x:v>范围 {value}</x:v>
      </x:c>
      <x:c r="H18" s="66" t="b">
        <x:f>'普通门'!H8</x:f>
        <x:v>1</x:v>
      </x:c>
    </x:row>
    <x:row r="19">
      <x:c r="A19" s="64" t="str">
        <x:f>'普通门'!A9</x:f>
        <x:v>starch</x:v>
      </x:c>
      <x:c r="B19" s="64" t="str">
        <x:f>'普通门'!B9</x:f>
        <x:v>淀粉</x:v>
      </x:c>
      <x:c r="C19" s="64" t="str">
        <x:f>'普通门'!C9</x:f>
        <x:v>starch</x:v>
      </x:c>
      <x:c r="D19" s="65" t="n">
        <x:f>'普通门'!D9</x:f>
        <x:v>0.15</x:v>
      </x:c>
      <x:c r="E19" s="65" t="n">
        <x:f>'普通门'!E9</x:f>
        <x:v>0.75</x:v>
      </x:c>
      <x:c r="F19" s="66" t="str">
        <x:f>'普通门'!F9</x:f>
        <x:v>%</x:v>
      </x:c>
      <x:c r="G19" s="66" t="str">
        <x:f>'普通门'!G9</x:f>
        <x:v>持续 {value}</x:v>
      </x:c>
      <x:c r="H19" s="66" t="b">
        <x:f>'普通门'!H9</x:f>
        <x:v>1</x:v>
      </x:c>
    </x:row>
  </x:sheetData>
  <x:mergeCells>
    <x:mergeCell ref="A1:H1"/>
    <x:mergeCell ref="A2:H2"/>
    <x:mergeCell ref="A10:H1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0" customWidth="1"/>
    <x:col min="2" max="2" width="34" customWidth="1"/>
    <x:col min="3" max="3" width="48" customWidth="1"/>
  </x:cols>
  <x:sheetData>
    <x:row r="1" ht="30" customHeight="1">
      <x:c r="A1" s="1" t="s">
        <x:v>43</x:v>
      </x:c>
      <x:c r="B1" s="1" t="s">
        <x:v>44</x:v>
      </x:c>
      <x:c r="C1" s="1" t="s">
        <x:v>45</x:v>
      </x:c>
    </x:row>
    <x:row r="2" ht="15" customHeight="1">
      <x:c r="A2" s="2" t="s">
        <x:v>46</x:v>
      </x:c>
      <x:c r="B2" s="14" t="s">
        <x:v>47</x:v>
      </x:c>
      <x:c r="C2" s="2" t="s">
        <x:v>48</x:v>
      </x:c>
    </x:row>
    <x:row r="3" ht="15" customHeight="1">
      <x:c r="A3" s="3" t="s">
        <x:v>49</x:v>
      </x:c>
      <x:c r="B3" s="16">
        <x:v>1</x:v>
      </x:c>
      <x:c r="C3" s="3" t="s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1e2a4dc5336b4ec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2" width="94" customWidth="1"/>
  </x:cols>
  <x:sheetData>
    <x:row r="1" ht="30" customHeight="1">
      <x:c r="A1" s="1" t="s">
        <x:v>51</x:v>
      </x:c>
      <x:c r="B1" s="1" t="s">
        <x:v>45</x:v>
      </x:c>
    </x:row>
    <x:row r="2" ht="42" customHeight="1">
      <x:c r="A2" s="14" t="s">
        <x:v>52</x:v>
      </x:c>
      <x:c r="B2" s="27" t="str">
        <x:v>保存并关闭后重新开始本局；普通门与食客奖励门都会读取同一候选池，已生成对象不热替换。</x:v>
      </x:c>
    </x:row>
    <x:row r="3" ht="42" customHeight="1">
      <x:c r="A3" s="15" t="s">
        <x:v>53</x:v>
      </x:c>
      <x:c r="B3" s="28" t="s">
        <x:v>54</x:v>
      </x:c>
    </x:row>
    <x:row r="4" ht="42" customHeight="1">
      <x:c r="A4" s="15" t="s">
        <x:v>55</x:v>
      </x:c>
      <x:c r="B4" s="28" t="str">
        <x:v>两类门共用“普通门”工作表的启用候选、数值区间和门牌描述模板；食客奖励页仅作规则说明与只读镜像。</x:v>
      </x:c>
    </x:row>
    <x:row r="5" ht="42" customHeight="1">
      <x:c r="A5" s="15" t="s">
        <x:v>56</x:v>
      </x:c>
      <x:c r="B5" s="28" t="str">
        <x:v>共用候选池至少启用两项；普通门同次抽取不重复，食客奖励每次抽取一项。少于两项时整本表回退。</x:v>
      </x:c>
    </x:row>
    <x:row r="6" ht="42" customHeight="1">
      <x:c r="A6" s="16" t="s">
        <x:v>57</x:v>
      </x:c>
      <x:c r="B6" s="29" t="str">
        <x:v>文件缺失或数据非法时，普通门与食客奖励共同回退到 run_3d.gd 中当前竖切片的安全候选池。</x:v>
      </x:c>
    </x:row>
  </x:sheetData>
  <x:pageMargins left="0.7" right="0.7" top="0.75" bottom="0.75" header="0.3" footer="0.3"/>
  <x:tableParts count="1">
    <x:tablePart xmlns:r="http://schemas.openxmlformats.org/officeDocument/2006/relationships" r:id="R170a87735dc44c62"/>
  </x:tableParts>
</x:worksheet>
</file>