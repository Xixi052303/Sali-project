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d3f6f8312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普通强化预览" sheetId="1" r:id="R96fc2543e7c44e3a"/>
    <x:sheet xmlns:r="http://schemas.openxmlformats.org/officeDocument/2006/relationships" name="普通门" sheetId="2" r:id="Rcf8a12cbabe0458e"/>
    <x:sheet xmlns:r="http://schemas.openxmlformats.org/officeDocument/2006/relationships" name="食客奖励" sheetId="3" r:id="R64885a72c79a4a09"/>
    <x:sheet xmlns:r="http://schemas.openxmlformats.org/officeDocument/2006/relationships" name="配置" sheetId="4" r:id="Rd9098c2c90194f3f"/>
    <x:sheet xmlns:r="http://schemas.openxmlformats.org/officeDocument/2006/relationships" name="说明" sheetId="5" r:id="R89d024f0c6b1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Microsoft YaHei"/>
    </x:font>
    <x:font>
      <x:sz val="10"/>
      <x:color rgb="FF243238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sz val="11"/>
      <x:name val="Carlito"/>
    </x:font>
    <x:font>
      <x:sz val="9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rgb="FF243238"/>
      </x:patternFill>
    </x:fill>
    <x:fill>
      <x:patternFill patternType="solid">
        <x:fgColor rgb="FFF5F7F6"/>
      </x:patternFill>
    </x:fill>
    <x:fill>
      <x:patternFill patternType="solid">
        <x:fgColor rgb="FF2D6F6A"/>
      </x:patternFill>
    </x:fill>
    <x:fill>
      <x:patternFill patternType="solid">
        <x:fgColor rgb="FFE7F0F8"/>
      </x:patternFill>
    </x:fill>
    <x:fill>
      <x:patternFill patternType="solid">
        <x:fgColor rgb="FFE8F3EC"/>
      </x:patternFill>
    </x:fill>
    <x:fill>
      <x:patternFill patternType="solid">
        <x:fgColor rgb="FFFFF3CD"/>
      </x:patternFill>
    </x:fill>
  </x:fills>
  <x:borders count="4">
    <x:border/>
    <x:border>
      <x:bottom style="thin">
        <x:color rgb="FFD7DDD9"/>
      </x:bottom>
    </x:border>
    <x:border>
      <x:top style="thin">
        <x:color rgb="FFD7DDD9"/>
      </x:top>
      <x:bottom style="thin">
        <x:color rgb="FFD7DDD9"/>
      </x:bottom>
    </x:border>
    <x:border>
      <x:top style="thin">
        <x:color rgb="FFD7DDD9"/>
      </x:top>
    </x:border>
  </x:borders>
  <x:cellStyleXfs count="2">
    <x:xf numFmtId="0" fontId="5" fillId="0" borderId="0"/>
    <x:xf numFmtId="0" fontId="5" fillId="0" borderId="0"/>
  </x:cellStyleXfs>
  <x:cellXfs count="37">
    <x:xf numFmtId="0" fontId="0" fillId="0" borderId="0" xfId="0"/>
    <x:xf numFmtId="0" fontId="4" fillId="2" borderId="0" xfId="1" applyAlignment="1">
      <x:alignment horizontal="center" vertical="center" wrapText="1"/>
    </x:xf>
    <x:xf numFmtId="0" fontId="2" fillId="0" borderId="1" xfId="1" applyAlignment="1">
      <x:alignment vertical="center"/>
    </x:xf>
    <x:xf numFmtId="0" fontId="2" fillId="0" borderId="3" xfId="1" applyAlignment="1">
      <x:alignment vertical="center"/>
    </x:xf>
    <x:xf numFmtId="0" fontId="2" fillId="5" borderId="1" xfId="1" applyAlignment="1">
      <x:alignment vertical="center"/>
    </x:xf>
    <x:xf numFmtId="0" fontId="2" fillId="5" borderId="2" xfId="1" applyAlignment="1">
      <x:alignment vertical="center"/>
    </x:xf>
    <x:xf numFmtId="0" fontId="2" fillId="5" borderId="3" xfId="1" applyAlignment="1">
      <x:alignment vertical="center"/>
    </x:xf>
    <x:xf numFmtId="2" fontId="2" fillId="5" borderId="1" xfId="1" applyAlignment="1">
      <x:alignment vertical="center"/>
    </x:xf>
    <x:xf numFmtId="2" fontId="2" fillId="5" borderId="2" xfId="1" applyAlignment="1">
      <x:alignment vertical="center"/>
    </x:xf>
    <x:xf numFmtId="2" fontId="2" fillId="5" borderId="3" xfId="1" applyAlignment="1">
      <x:alignment vertical="center"/>
    </x:xf>
    <x:xf numFmtId="0" fontId="2" fillId="5" borderId="1" xfId="1" applyAlignment="1">
      <x:alignment vertical="center" wrapText="1"/>
    </x:xf>
    <x:xf numFmtId="0" fontId="2" fillId="5" borderId="2" xfId="1" applyAlignment="1">
      <x:alignment vertical="center" wrapText="1"/>
    </x:xf>
    <x:xf numFmtId="0" fontId="2" fillId="5" borderId="3" xfId="1" applyAlignment="1">
      <x:alignment vertical="center" wrapText="1"/>
    </x:xf>
    <x:xf numFmtId="0" fontId="0" fillId="0" borderId="0" xfId="1" applyAlignment="1">
      <x:alignment wrapText="1"/>
    </x:xf>
    <x:xf numFmtId="0" fontId="2" fillId="6" borderId="1" xfId="1" applyAlignment="1">
      <x:alignment vertical="center"/>
    </x:xf>
    <x:xf numFmtId="0" fontId="2" fillId="6" borderId="2" xfId="1" applyAlignment="1">
      <x:alignment vertical="center"/>
    </x:xf>
    <x:xf numFmtId="0" fontId="2" fillId="6" borderId="3" xfId="1" applyAlignment="1">
      <x:alignment vertical="center"/>
    </x:xf>
    <x:xf numFmtId="0" fontId="2" fillId="7" borderId="1" xfId="1" applyAlignment="1">
      <x:alignment vertical="center"/>
    </x:xf>
    <x:xf numFmtId="0" fontId="2" fillId="7" borderId="1" xfId="1" applyAlignment="1">
      <x:alignment vertical="center"/>
    </x:xf>
    <x:xf numFmtId="0" fontId="2" fillId="7" borderId="2" xfId="1" applyAlignment="1">
      <x:alignment vertical="center"/>
    </x:xf>
    <x:xf numFmtId="0" fontId="2" fillId="7" borderId="2" xfId="1" applyAlignment="1">
      <x:alignment vertical="center"/>
    </x:xf>
    <x:xf numFmtId="0" fontId="2" fillId="7" borderId="3" xfId="1" applyAlignment="1">
      <x:alignment vertical="center"/>
    </x:xf>
    <x:xf numFmtId="0" fontId="2" fillId="7" borderId="3" xfId="1" applyAlignment="1">
      <x:alignment vertical="center"/>
    </x:xf>
    <x:xf numFmtId="0" fontId="2" fillId="7" borderId="1" xfId="1" applyAlignment="1">
      <x:alignment vertical="center" wrapText="1"/>
    </x:xf>
    <x:xf numFmtId="0" fontId="2" fillId="7" borderId="2" xfId="1" applyAlignment="1">
      <x:alignment vertical="center" wrapText="1"/>
    </x:xf>
    <x:xf numFmtId="0" fontId="2" fillId="7" borderId="3" xfId="1" applyAlignment="1">
      <x:alignment vertical="center" wrapText="1"/>
    </x:xf>
    <x:xf numFmtId="9" fontId="2" fillId="7" borderId="1" xfId="1" applyAlignment="1">
      <x:alignment vertical="center"/>
    </x:xf>
    <x:xf numFmtId="9" fontId="2" fillId="7" borderId="2" xfId="1" applyAlignment="1">
      <x:alignment vertical="center"/>
    </x:xf>
    <x:xf numFmtId="2" fontId="2" fillId="7" borderId="2" xfId="1" applyAlignment="1">
      <x:alignment vertical="center"/>
    </x:xf>
    <x:xf numFmtId="9" fontId="2" fillId="7" borderId="3" xfId="1" applyAlignment="1">
      <x:alignment vertical="center"/>
    </x:xf>
    <x:xf numFmtId="0" fontId="2" fillId="0" borderId="1" xfId="1" applyAlignment="1">
      <x:alignment vertical="center" wrapText="1"/>
    </x:xf>
    <x:xf numFmtId="0" fontId="2" fillId="0" borderId="2" xfId="1" applyAlignment="1">
      <x:alignment vertical="center" wrapText="1"/>
    </x:xf>
    <x:xf numFmtId="0" fontId="2" fillId="0" borderId="3" xfId="1" applyAlignment="1">
      <x:alignment vertical="center" wrapText="1"/>
    </x:xf>
    <x:xf numFmtId="0" fontId="1" fillId="2" borderId="0" xfId="1" applyAlignment="1">
      <x:alignment vertical="center"/>
    </x:xf>
    <x:xf numFmtId="0" fontId="2" fillId="3" borderId="0" xfId="1" applyAlignment="1">
      <x:alignment vertical="center" wrapText="1"/>
    </x:xf>
    <x:xf numFmtId="0" fontId="3" fillId="4" borderId="0" xfId="1" applyAlignment="1">
      <x:alignment vertical="center"/>
    </x:xf>
    <x:xf numFmtId="0" fontId="3" fillId="4" borderId="0" xfId="1" applyAlignment="1">
      <x:alignment vertical="center" wrapText="1"/>
    </x:xf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4052261854ab4" /><Relationship Type="http://schemas.openxmlformats.org/officeDocument/2006/relationships/theme" Target="/xl/theme/theme1.xml" Id="Rb5900d27f6d64b7b" /><Relationship Type="http://schemas.openxmlformats.org/officeDocument/2006/relationships/sharedStrings" Target="/xl/sharedStrings.xml" Id="R70d7f1d2f7d7492f" /><Relationship Type="http://schemas.openxmlformats.org/officeDocument/2006/relationships/worksheet" Target="/xl/worksheets/sheet1.xml" Id="R96fc2543e7c44e3a" /><Relationship Type="http://schemas.openxmlformats.org/officeDocument/2006/relationships/worksheet" Target="/xl/worksheets/sheet2.xml" Id="Rcf8a12cbabe0458e" /><Relationship Type="http://schemas.openxmlformats.org/officeDocument/2006/relationships/worksheet" Target="/xl/worksheets/sheet3.xml" Id="R64885a72c79a4a09" /><Relationship Type="http://schemas.openxmlformats.org/officeDocument/2006/relationships/worksheet" Target="/xl/worksheets/sheet4.xml" Id="Rd9098c2c90194f3f" /><Relationship Type="http://schemas.openxmlformats.org/officeDocument/2006/relationships/worksheet" Target="/xl/worksheets/sheet5.xml" Id="R89d024f0c6b14a95" /></Relationships>
</file>

<file path=xl/tables/table1.xml><?xml version="1.0" encoding="utf-8"?>
<x:table xmlns:x="http://schemas.openxmlformats.org/spreadsheetml/2006/main" id="1" name="NormalGateUpgradeTable" displayName="NormalGateUpgradeTable" ref="A1:H9" headerRowCount="1" totalsRowShown="0">
  <x:tableColumns count="8">
    <x:tableColumn id="1" name="强化ID"/>
    <x:tableColumn id="2" name="显示名称"/>
    <x:tableColumn id="3" name="类型"/>
    <x:tableColumn id="4" name="最小值"/>
    <x:tableColumn id="5" name="最大值"/>
    <x:tableColumn id="6" name="显示后缀"/>
    <x:tableColumn id="7" name="说明"/>
    <x:tableColumn id="8" name="启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RewardUpgradeTable" displayName="CustomerRewardUpgradeTable" ref="A1:H9" headerRowCount="1" totalsRowShown="0">
  <x:tableColumns count="8">
    <x:tableColumn id="1" name="强化ID"/>
    <x:tableColumn id="2" name="显示名称"/>
    <x:tableColumn id="3" name="类型"/>
    <x:tableColumn id="4" name="最小值"/>
    <x:tableColumn id="5" name="最大值"/>
    <x:tableColumn id="6" name="显示后缀"/>
    <x:tableColumn id="7" name="说明"/>
    <x:tableColumn id="8" name="启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xiaochuxi_normal_upgrades_config" displayName="xiaochuxi_normal_upgrades_config" ref="A1:C3" headerRowCount="1" totalsRowShown="0">
  <x:tableColumns count="3">
    <x:tableColumn id="1" name="参数ID"/>
    <x:tableColumn id="2" name="数值"/>
    <x:tableColumn id="3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rmalUpgradeNotesTable" displayName="NormalUpgradeNotesTable" ref="A1:B6" headerRowCount="1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232980a81241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d02238f43d41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473cb7232b4d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f5bf077ab843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3.800000190734863"/>
  <x:cols>
    <x:col min="1" max="2" width="18" customWidth="1"/>
    <x:col min="3" max="3" width="13" customWidth="1"/>
    <x:col min="4" max="6" width="14" customWidth="1"/>
    <x:col min="7" max="7" width="13" customWidth="1"/>
    <x:col min="8" max="8" width="12" customWidth="1"/>
    <x:col min="9" max="9" width="11" customWidth="1"/>
    <x:col min="10" max="10" width="52" customWidth="1"/>
  </x:cols>
  <x:sheetData>
    <x:row r="1" ht="37.95000076293945" customHeight="1">
      <x:c r="A1" s="33" t="inlineStr">
        <x:is>
          <x:t xml:space="preserve">小厨西 · 普通强化预览</x:t>
        </x:is>
      </x:c>
    </x:row>
    <x:row r="2">
      <x:c r="A2" s="34" t="inlineStr">
        <x:is>
          <x:t xml:space="preserve">四档分界由最小值与最大值线性计算。门牌文案直接读取两张输入表中的模板；{value} 会替换为当前奖励，{repair_points} 会按最大耐久换算。</x:t>
        </x:is>
      </x:c>
    </x:row>
    <x:row r="3"/>
    <x:row r="5" ht="28.049999237060547" customHeight="1">
      <x:c r="A5" s="35" t="inlineStr">
        <x:is>
          <x:t xml:space="preserve">普通强化门区间</x:t>
        </x:is>
      </x:c>
    </x:row>
    <x:row r="6" ht="30" customHeight="1">
      <x:c r="A6" s="1" t="inlineStr">
        <x:is>
          <x:t xml:space="preserve">强化</x:t>
        </x:is>
      </x:c>
      <x:c r="B6" s="1" t="inlineStr">
        <x:is>
          <x:t xml:space="preserve">类型</x:t>
        </x:is>
      </x:c>
      <x:c r="C6" s="1" t="inlineStr">
        <x:is>
          <x:t xml:space="preserve">最小</x:t>
        </x:is>
      </x:c>
      <x:c r="D6" s="1" t="inlineStr">
        <x:is>
          <x:t xml:space="preserve">25%分位</x:t>
        </x:is>
      </x:c>
      <x:c r="E6" s="1" t="inlineStr">
        <x:is>
          <x:t xml:space="preserve">50%分位</x:t>
        </x:is>
      </x:c>
      <x:c r="F6" s="1" t="inlineStr">
        <x:is>
          <x:t xml:space="preserve">75%分位</x:t>
        </x:is>
      </x:c>
      <x:c r="G6" s="1" t="inlineStr">
        <x:is>
          <x:t xml:space="preserve">最大</x:t>
        </x:is>
      </x:c>
      <x:c r="H6" s="1" t="inlineStr">
        <x:is>
          <x:t xml:space="preserve">后缀</x:t>
        </x:is>
      </x:c>
      <x:c r="I6" s="1" t="inlineStr">
        <x:is>
          <x:t xml:space="preserve">启用</x:t>
        </x:is>
      </x:c>
      <x:c r="J6" s="1" t="inlineStr">
        <x:is>
          <x:t xml:space="preserve">门牌描述模板</x:t>
        </x:is>
      </x:c>
    </x:row>
    <x:row r="7" ht="15" customHeight="1">
      <x:c r="A7" s="4" t="str">
        <x:f>'普通门'!B2</x:f>
        <x:v>糖</x:v>
      </x:c>
      <x:c r="B7" s="4" t="str">
        <x:f>'普通门'!C2</x:f>
        <x:v>sugar</x:v>
      </x:c>
      <x:c r="C7" s="7" t="n">
        <x:f>'普通门'!D2</x:f>
        <x:v>0.05</x:v>
      </x:c>
      <x:c r="D7" s="7" t="n">
        <x:f>C7+('普通门'!E2-C7)*0.25</x:f>
        <x:v>0.15000000000000002</x:v>
      </x:c>
      <x:c r="E7" s="7" t="n">
        <x:f>C7+('普通门'!E2-C7)*0.5</x:f>
        <x:v>0.25</x:v>
      </x:c>
      <x:c r="F7" s="7" t="n">
        <x:f>C7+('普通门'!E2-C7)*0.75</x:f>
        <x:v>0.35000000000000003</x:v>
      </x:c>
      <x:c r="G7" s="7" t="n">
        <x:f>'普通门'!E2</x:f>
        <x:v>0.45</x:v>
      </x:c>
      <x:c r="H7" s="4" t="str">
        <x:f>'普通门'!F2</x:f>
        <x:v>%</x:v>
      </x:c>
      <x:c r="I7" s="4" t="b">
        <x:f>'普通门'!H2</x:f>
        <x:v>1</x:v>
      </x:c>
      <x:c r="J7" s="10" t="str">
        <x:f>'普通门'!G2</x:f>
        <x:v>饱腹度 {value}</x:v>
      </x:c>
    </x:row>
    <x:row r="8" ht="15" customHeight="1">
      <x:c r="A8" s="5" t="str">
        <x:f>'普通门'!B3</x:f>
        <x:v>快速备餐</x:v>
      </x:c>
      <x:c r="B8" s="5" t="str">
        <x:f>'普通门'!C3</x:f>
        <x:v>quick_prep</x:v>
      </x:c>
      <x:c r="C8" s="8" t="n">
        <x:f>'普通门'!D3</x:f>
        <x:v>0.02</x:v>
      </x:c>
      <x:c r="D8" s="8" t="n">
        <x:f>C8+('普通门'!E3-C8)*0.25</x:f>
        <x:v>0.065</x:v>
      </x:c>
      <x:c r="E8" s="8" t="n">
        <x:f>C8+('普通门'!E3-C8)*0.5</x:f>
        <x:v>0.11000000000000001</x:v>
      </x:c>
      <x:c r="F8" s="8" t="n">
        <x:f>C8+('普通门'!E3-C8)*0.75</x:f>
        <x:v>0.155</x:v>
      </x:c>
      <x:c r="G8" s="8" t="n">
        <x:f>'普通门'!E3</x:f>
        <x:v>0.2</x:v>
      </x:c>
      <x:c r="H8" s="5" t="str">
        <x:f>'普通门'!F3</x:f>
        <x:v>%</x:v>
      </x:c>
      <x:c r="I8" s="5" t="b">
        <x:f>'普通门'!H3</x:f>
        <x:v>1</x:v>
      </x:c>
      <x:c r="J8" s="11" t="str">
        <x:f>'普通门'!G3</x:f>
        <x:v>攻速 {value}</x:v>
      </x:c>
    </x:row>
    <x:row r="9" ht="15" customHeight="1">
      <x:c r="A9" s="5" t="str">
        <x:f>'普通门'!B4</x:f>
        <x:v>轻便餐车</x:v>
      </x:c>
      <x:c r="B9" s="5" t="str">
        <x:f>'普通门'!C4</x:f>
        <x:v>light_cart</x:v>
      </x:c>
      <x:c r="C9" s="8" t="n">
        <x:f>'普通门'!D4</x:f>
        <x:v>50</x:v>
      </x:c>
      <x:c r="D9" s="8" t="n">
        <x:f>C9+('普通门'!E4-C9)*0.25</x:f>
        <x:v>112.5</x:v>
      </x:c>
      <x:c r="E9" s="8" t="n">
        <x:f>C9+('普通门'!E4-C9)*0.5</x:f>
        <x:v>175</x:v>
      </x:c>
      <x:c r="F9" s="8" t="n">
        <x:f>C9+('普通门'!E4-C9)*0.75</x:f>
        <x:v>237.5</x:v>
      </x:c>
      <x:c r="G9" s="8" t="n">
        <x:f>'普通门'!E4</x:f>
        <x:v>300</x:v>
      </x:c>
      <x:c r="H9" s="5" t="str">
        <x:f>'普通门'!F4</x:f>
        <x:v>速度</x:v>
      </x:c>
      <x:c r="I9" s="5" t="b">
        <x:f>'普通门'!H4</x:f>
        <x:v>1</x:v>
      </x:c>
      <x:c r="J9" s="11" t="str">
        <x:f>'普通门'!G4</x:f>
        <x:v>移速 {value}</x:v>
      </x:c>
    </x:row>
    <x:row r="10" ht="15" customHeight="1">
      <x:c r="A10" s="5" t="str">
        <x:f>'普通门'!B5</x:f>
        <x:v>餐车改造</x:v>
      </x:c>
      <x:c r="B10" s="5" t="str">
        <x:f>'普通门'!C5</x:f>
        <x:v>sturdy_cart</x:v>
      </x:c>
      <x:c r="C10" s="8" t="n">
        <x:f>'普通门'!D5</x:f>
        <x:v>5</x:v>
      </x:c>
      <x:c r="D10" s="8" t="n">
        <x:f>C10+('普通门'!E5-C10)*0.25</x:f>
        <x:v>11.75</x:v>
      </x:c>
      <x:c r="E10" s="8" t="n">
        <x:f>C10+('普通门'!E5-C10)*0.5</x:f>
        <x:v>18.5</x:v>
      </x:c>
      <x:c r="F10" s="8" t="n">
        <x:f>C10+('普通门'!E5-C10)*0.75</x:f>
        <x:v>25.25</x:v>
      </x:c>
      <x:c r="G10" s="8" t="n">
        <x:f>'普通门'!E5</x:f>
        <x:v>32</x:v>
      </x:c>
      <x:c r="H10" s="5" t="str">
        <x:f>'普通门'!F5</x:f>
        <x:v>点</x:v>
      </x:c>
      <x:c r="I10" s="5" t="b">
        <x:f>'普通门'!H5</x:f>
        <x:v>1</x:v>
      </x:c>
      <x:c r="J10" s="11" t="str">
        <x:f>'普通门'!G5</x:f>
        <x:v>耐久 {value}</x:v>
      </x:c>
    </x:row>
    <x:row r="11" ht="15" customHeight="1">
      <x:c r="A11" s="5" t="str">
        <x:f>'普通门'!B6</x:f>
        <x:v>紧急维修</x:v>
      </x:c>
      <x:c r="B11" s="5" t="str">
        <x:f>'普通门'!C6</x:f>
        <x:v>repair</x:v>
      </x:c>
      <x:c r="C11" s="8" t="n">
        <x:f>'普通门'!D6</x:f>
        <x:v>0.05</x:v>
      </x:c>
      <x:c r="D11" s="8" t="n">
        <x:f>C11+('普通门'!E6-C11)*0.25</x:f>
        <x:v>0.1375</x:v>
      </x:c>
      <x:c r="E11" s="8" t="n">
        <x:f>C11+('普通门'!E6-C11)*0.5</x:f>
        <x:v>0.22500000000000003</x:v>
      </x:c>
      <x:c r="F11" s="8" t="n">
        <x:f>C11+('普通门'!E6-C11)*0.75</x:f>
        <x:v>0.3125</x:v>
      </x:c>
      <x:c r="G11" s="8" t="n">
        <x:f>'普通门'!E6</x:f>
        <x:v>0.4</x:v>
      </x:c>
      <x:c r="H11" s="5" t="str">
        <x:f>'普通门'!F6</x:f>
        <x:v>%</x:v>
      </x:c>
      <x:c r="I11" s="5" t="b">
        <x:f>'普通门'!H6</x:f>
        <x:v>1</x:v>
      </x:c>
      <x:c r="J11" s="11" t="str">
        <x:f>'普通门'!G6</x:f>
        <x:v>恢复/护盾 {repair_points}</x:v>
      </x:c>
    </x:row>
    <x:row r="12" ht="15" customHeight="1">
      <x:c r="A12" s="5" t="str">
        <x:f>'普通门'!B7</x:f>
        <x:v>酒</x:v>
      </x:c>
      <x:c r="B12" s="5" t="str">
        <x:f>'普通门'!C7</x:f>
        <x:v>wine</x:v>
      </x:c>
      <x:c r="C12" s="8" t="n">
        <x:f>'普通门'!D7</x:f>
        <x:v>0.1</x:v>
      </x:c>
      <x:c r="D12" s="8" t="n">
        <x:f>C12+('普通门'!E7-C12)*0.25</x:f>
        <x:v>0.2</x:v>
      </x:c>
      <x:c r="E12" s="8" t="n">
        <x:f>C12+('普通门'!E7-C12)*0.5</x:f>
        <x:v>0.30000000000000004</x:v>
      </x:c>
      <x:c r="F12" s="8" t="n">
        <x:f>C12+('普通门'!E7-C12)*0.75</x:f>
        <x:v>0.4</x:v>
      </x:c>
      <x:c r="G12" s="8" t="n">
        <x:f>'普通门'!E7</x:f>
        <x:v>0.5</x:v>
      </x:c>
      <x:c r="H12" s="5" t="str">
        <x:f>'普通门'!F7</x:f>
        <x:v>%</x:v>
      </x:c>
      <x:c r="I12" s="5" t="b">
        <x:f>'普通门'!H7</x:f>
        <x:v>1</x:v>
      </x:c>
      <x:c r="J12" s="11" t="str">
        <x:f>'普通门'!G7</x:f>
        <x:v>运动速度 {value}</x:v>
      </x:c>
    </x:row>
    <x:row r="13" ht="15" customHeight="1">
      <x:c r="A13" s="5" t="str">
        <x:f>'普通门'!B8</x:f>
        <x:v>葱</x:v>
      </x:c>
      <x:c r="B13" s="5" t="str">
        <x:f>'普通门'!C8</x:f>
        <x:v>scallion</x:v>
      </x:c>
      <x:c r="C13" s="8" t="n">
        <x:f>'普通门'!D8</x:f>
        <x:v>0.1</x:v>
      </x:c>
      <x:c r="D13" s="8" t="n">
        <x:f>C13+('普通门'!E8-C13)*0.25</x:f>
        <x:v>0.225</x:v>
      </x:c>
      <x:c r="E13" s="8" t="n">
        <x:f>C13+('普通门'!E8-C13)*0.5</x:f>
        <x:v>0.35</x:v>
      </x:c>
      <x:c r="F13" s="8" t="n">
        <x:f>C13+('普通门'!E8-C13)*0.75</x:f>
        <x:v>0.475</x:v>
      </x:c>
      <x:c r="G13" s="8" t="n">
        <x:f>'普通门'!E8</x:f>
        <x:v>0.6</x:v>
      </x:c>
      <x:c r="H13" s="5" t="str">
        <x:f>'普通门'!F8</x:f>
        <x:v>%</x:v>
      </x:c>
      <x:c r="I13" s="5" t="b">
        <x:f>'普通门'!H8</x:f>
        <x:v>1</x:v>
      </x:c>
      <x:c r="J13" s="11" t="str">
        <x:f>'普通门'!G8</x:f>
        <x:v>范围 {value}</x:v>
      </x:c>
    </x:row>
    <x:row r="14" ht="15" customHeight="1">
      <x:c r="A14" s="6" t="str">
        <x:f>'普通门'!B9</x:f>
        <x:v>淀粉</x:v>
      </x:c>
      <x:c r="B14" s="6" t="str">
        <x:f>'普通门'!C9</x:f>
        <x:v>starch</x:v>
      </x:c>
      <x:c r="C14" s="9" t="n">
        <x:f>'普通门'!D9</x:f>
        <x:v>0.15</x:v>
      </x:c>
      <x:c r="D14" s="9" t="n">
        <x:f>C14+('普通门'!E9-C14)*0.25</x:f>
        <x:v>0.3</x:v>
      </x:c>
      <x:c r="E14" s="9" t="n">
        <x:f>C14+('普通门'!E9-C14)*0.5</x:f>
        <x:v>0.44999999999999996</x:v>
      </x:c>
      <x:c r="F14" s="9" t="n">
        <x:f>C14+('普通门'!E9-C14)*0.75</x:f>
        <x:v>0.6</x:v>
      </x:c>
      <x:c r="G14" s="9" t="n">
        <x:f>'普通门'!E9</x:f>
        <x:v>0.75</x:v>
      </x:c>
      <x:c r="H14" s="6" t="str">
        <x:f>'普通门'!F9</x:f>
        <x:v>%</x:v>
      </x:c>
      <x:c r="I14" s="6" t="b">
        <x:f>'普通门'!H9</x:f>
        <x:v>1</x:v>
      </x:c>
      <x:c r="J14" s="12" t="str">
        <x:f>'普通门'!G9</x:f>
        <x:v>持续 {value}</x:v>
      </x:c>
    </x:row>
    <x:row r="15">
      <x:c r="J15" s="13" t="n"/>
    </x:row>
    <x:row r="16" ht="28.049999237060547" customHeight="1">
      <x:c r="A16" s="35" t="inlineStr">
        <x:is>
          <x:t xml:space="preserve">食客奖励门区间</x:t>
        </x:is>
      </x:c>
    </x:row>
    <x:row r="17" ht="30" customHeight="1">
      <x:c r="A17" s="1" t="inlineStr">
        <x:is>
          <x:t xml:space="preserve">强化</x:t>
        </x:is>
      </x:c>
      <x:c r="B17" s="1" t="inlineStr">
        <x:is>
          <x:t xml:space="preserve">类型</x:t>
        </x:is>
      </x:c>
      <x:c r="C17" s="1" t="inlineStr">
        <x:is>
          <x:t xml:space="preserve">最小</x:t>
        </x:is>
      </x:c>
      <x:c r="D17" s="1" t="inlineStr">
        <x:is>
          <x:t xml:space="preserve">25%分位</x:t>
        </x:is>
      </x:c>
      <x:c r="E17" s="1" t="inlineStr">
        <x:is>
          <x:t xml:space="preserve">50%分位</x:t>
        </x:is>
      </x:c>
      <x:c r="F17" s="1" t="inlineStr">
        <x:is>
          <x:t xml:space="preserve">75%分位</x:t>
        </x:is>
      </x:c>
      <x:c r="G17" s="1" t="inlineStr">
        <x:is>
          <x:t xml:space="preserve">最大</x:t>
        </x:is>
      </x:c>
      <x:c r="H17" s="1" t="inlineStr">
        <x:is>
          <x:t xml:space="preserve">后缀</x:t>
        </x:is>
      </x:c>
      <x:c r="I17" s="1" t="inlineStr">
        <x:is>
          <x:t xml:space="preserve">启用</x:t>
        </x:is>
      </x:c>
      <x:c r="J17" s="1" t="inlineStr">
        <x:is>
          <x:t xml:space="preserve">门牌描述模板</x:t>
        </x:is>
      </x:c>
    </x:row>
    <x:row r="18" ht="15" customHeight="1">
      <x:c r="A18" s="4" t="str">
        <x:f>'食客奖励'!B2</x:f>
        <x:v>糖</x:v>
      </x:c>
      <x:c r="B18" s="4" t="str">
        <x:f>'食客奖励'!C2</x:f>
        <x:v>sugar</x:v>
      </x:c>
      <x:c r="C18" s="7" t="n">
        <x:f>'食客奖励'!D2</x:f>
        <x:v>0.05</x:v>
      </x:c>
      <x:c r="D18" s="7" t="n">
        <x:f>C18+('食客奖励'!E2-C18)*0.25</x:f>
        <x:v>0.15000000000000002</x:v>
      </x:c>
      <x:c r="E18" s="7" t="n">
        <x:f>C18+('食客奖励'!E2-C18)*0.5</x:f>
        <x:v>0.25</x:v>
      </x:c>
      <x:c r="F18" s="7" t="n">
        <x:f>C18+('食客奖励'!E2-C18)*0.75</x:f>
        <x:v>0.35000000000000003</x:v>
      </x:c>
      <x:c r="G18" s="7" t="n">
        <x:f>'食客奖励'!E2</x:f>
        <x:v>0.45</x:v>
      </x:c>
      <x:c r="H18" s="4" t="str">
        <x:f>'食客奖励'!F2</x:f>
        <x:v>%</x:v>
      </x:c>
      <x:c r="I18" s="4" t="b">
        <x:f>'食客奖励'!H2</x:f>
        <x:v>1</x:v>
      </x:c>
      <x:c r="J18" s="10" t="str">
        <x:f>'食客奖励'!G2</x:f>
        <x:v>饱腹度 {value}</x:v>
      </x:c>
    </x:row>
    <x:row r="19" ht="15" customHeight="1">
      <x:c r="A19" s="5" t="str">
        <x:f>'食客奖励'!B3</x:f>
        <x:v>备餐</x:v>
      </x:c>
      <x:c r="B19" s="5" t="str">
        <x:f>'食客奖励'!C3</x:f>
        <x:v>quick_prep</x:v>
      </x:c>
      <x:c r="C19" s="8" t="n">
        <x:f>'食客奖励'!D3</x:f>
        <x:v>0.02</x:v>
      </x:c>
      <x:c r="D19" s="8" t="n">
        <x:f>C19+('食客奖励'!E3-C19)*0.25</x:f>
        <x:v>0.065</x:v>
      </x:c>
      <x:c r="E19" s="8" t="n">
        <x:f>C19+('食客奖励'!E3-C19)*0.5</x:f>
        <x:v>0.11000000000000001</x:v>
      </x:c>
      <x:c r="F19" s="8" t="n">
        <x:f>C19+('食客奖励'!E3-C19)*0.75</x:f>
        <x:v>0.155</x:v>
      </x:c>
      <x:c r="G19" s="8" t="n">
        <x:f>'食客奖励'!E3</x:f>
        <x:v>0.2</x:v>
      </x:c>
      <x:c r="H19" s="5" t="str">
        <x:f>'食客奖励'!F3</x:f>
        <x:v>%</x:v>
      </x:c>
      <x:c r="I19" s="5" t="b">
        <x:f>'食客奖励'!H3</x:f>
        <x:v>1</x:v>
      </x:c>
      <x:c r="J19" s="11" t="str">
        <x:f>'食客奖励'!G3</x:f>
        <x:v>攻速 {value}</x:v>
      </x:c>
    </x:row>
    <x:row r="20" ht="15" customHeight="1">
      <x:c r="A20" s="5" t="str">
        <x:f>'食客奖励'!B4</x:f>
        <x:v>酒</x:v>
      </x:c>
      <x:c r="B20" s="5" t="str">
        <x:f>'食客奖励'!C4</x:f>
        <x:v>wine</x:v>
      </x:c>
      <x:c r="C20" s="8" t="n">
        <x:f>'食客奖励'!D4</x:f>
        <x:v>0.1</x:v>
      </x:c>
      <x:c r="D20" s="8" t="n">
        <x:f>C20+('食客奖励'!E4-C20)*0.25</x:f>
        <x:v>0.2</x:v>
      </x:c>
      <x:c r="E20" s="8" t="n">
        <x:f>C20+('食客奖励'!E4-C20)*0.5</x:f>
        <x:v>0.30000000000000004</x:v>
      </x:c>
      <x:c r="F20" s="8" t="n">
        <x:f>C20+('食客奖励'!E4-C20)*0.75</x:f>
        <x:v>0.4</x:v>
      </x:c>
      <x:c r="G20" s="8" t="n">
        <x:f>'食客奖励'!E4</x:f>
        <x:v>0.5</x:v>
      </x:c>
      <x:c r="H20" s="5" t="str">
        <x:f>'食客奖励'!F4</x:f>
        <x:v>%</x:v>
      </x:c>
      <x:c r="I20" s="5" t="b">
        <x:f>'食客奖励'!H4</x:f>
        <x:v>1</x:v>
      </x:c>
      <x:c r="J20" s="11" t="str">
        <x:f>'食客奖励'!G4</x:f>
        <x:v>运动速度 {value}</x:v>
      </x:c>
    </x:row>
    <x:row r="21" ht="15" customHeight="1">
      <x:c r="A21" s="5" t="str">
        <x:f>'食客奖励'!B5</x:f>
        <x:v>葱</x:v>
      </x:c>
      <x:c r="B21" s="5" t="str">
        <x:f>'食客奖励'!C5</x:f>
        <x:v>scallion</x:v>
      </x:c>
      <x:c r="C21" s="8" t="n">
        <x:f>'食客奖励'!D5</x:f>
        <x:v>0.1</x:v>
      </x:c>
      <x:c r="D21" s="8" t="n">
        <x:f>C21+('食客奖励'!E5-C21)*0.25</x:f>
        <x:v>0.225</x:v>
      </x:c>
      <x:c r="E21" s="8" t="n">
        <x:f>C21+('食客奖励'!E5-C21)*0.5</x:f>
        <x:v>0.35</x:v>
      </x:c>
      <x:c r="F21" s="8" t="n">
        <x:f>C21+('食客奖励'!E5-C21)*0.75</x:f>
        <x:v>0.475</x:v>
      </x:c>
      <x:c r="G21" s="8" t="n">
        <x:f>'食客奖励'!E5</x:f>
        <x:v>0.6</x:v>
      </x:c>
      <x:c r="H21" s="5" t="str">
        <x:f>'食客奖励'!F5</x:f>
        <x:v>%</x:v>
      </x:c>
      <x:c r="I21" s="5" t="b">
        <x:f>'食客奖励'!H5</x:f>
        <x:v>1</x:v>
      </x:c>
      <x:c r="J21" s="11" t="str">
        <x:f>'食客奖励'!G5</x:f>
        <x:v>范围 {value}</x:v>
      </x:c>
    </x:row>
    <x:row r="22" ht="15" customHeight="1">
      <x:c r="A22" s="5" t="str">
        <x:f>'食客奖励'!B6</x:f>
        <x:v>淀粉</x:v>
      </x:c>
      <x:c r="B22" s="5" t="str">
        <x:f>'食客奖励'!C6</x:f>
        <x:v>starch</x:v>
      </x:c>
      <x:c r="C22" s="8" t="n">
        <x:f>'食客奖励'!D6</x:f>
        <x:v>0.15</x:v>
      </x:c>
      <x:c r="D22" s="8" t="n">
        <x:f>C22+('食客奖励'!E6-C22)*0.25</x:f>
        <x:v>0.3</x:v>
      </x:c>
      <x:c r="E22" s="8" t="n">
        <x:f>C22+('食客奖励'!E6-C22)*0.5</x:f>
        <x:v>0.44999999999999996</x:v>
      </x:c>
      <x:c r="F22" s="8" t="n">
        <x:f>C22+('食客奖励'!E6-C22)*0.75</x:f>
        <x:v>0.6</x:v>
      </x:c>
      <x:c r="G22" s="8" t="n">
        <x:f>'食客奖励'!E6</x:f>
        <x:v>0.75</x:v>
      </x:c>
      <x:c r="H22" s="5" t="str">
        <x:f>'食客奖励'!F6</x:f>
        <x:v>%</x:v>
      </x:c>
      <x:c r="I22" s="5" t="b">
        <x:f>'食客奖励'!H6</x:f>
        <x:v>1</x:v>
      </x:c>
      <x:c r="J22" s="11" t="str">
        <x:f>'食客奖励'!G6</x:f>
        <x:v>持续 {value}</x:v>
      </x:c>
    </x:row>
    <x:row r="23" ht="15" customHeight="1">
      <x:c r="A23" s="5" t="str">
        <x:f>'食客奖励'!B7</x:f>
        <x:v>轻车</x:v>
      </x:c>
      <x:c r="B23" s="5" t="str">
        <x:f>'食客奖励'!C7</x:f>
        <x:v>light_cart</x:v>
      </x:c>
      <x:c r="C23" s="8" t="n">
        <x:f>'食客奖励'!D7</x:f>
        <x:v>50</x:v>
      </x:c>
      <x:c r="D23" s="8" t="n">
        <x:f>C23+('食客奖励'!E7-C23)*0.25</x:f>
        <x:v>112.5</x:v>
      </x:c>
      <x:c r="E23" s="8" t="n">
        <x:f>C23+('食客奖励'!E7-C23)*0.5</x:f>
        <x:v>175</x:v>
      </x:c>
      <x:c r="F23" s="8" t="n">
        <x:f>C23+('食客奖励'!E7-C23)*0.75</x:f>
        <x:v>237.5</x:v>
      </x:c>
      <x:c r="G23" s="8" t="n">
        <x:f>'食客奖励'!E7</x:f>
        <x:v>300</x:v>
      </x:c>
      <x:c r="H23" s="5" t="str">
        <x:f>'食客奖励'!F7</x:f>
        <x:v>速度</x:v>
      </x:c>
      <x:c r="I23" s="5" t="b">
        <x:f>'食客奖励'!H7</x:f>
        <x:v>1</x:v>
      </x:c>
      <x:c r="J23" s="11" t="str">
        <x:f>'食客奖励'!G7</x:f>
        <x:v>移速 {value}</x:v>
      </x:c>
    </x:row>
    <x:row r="24" ht="15" customHeight="1">
      <x:c r="A24" s="5" t="str">
        <x:f>'食客奖励'!B8</x:f>
        <x:v>餐车改造</x:v>
      </x:c>
      <x:c r="B24" s="5" t="str">
        <x:f>'食客奖励'!C8</x:f>
        <x:v>sturdy_cart</x:v>
      </x:c>
      <x:c r="C24" s="8" t="n">
        <x:f>'食客奖励'!D8</x:f>
        <x:v>5</x:v>
      </x:c>
      <x:c r="D24" s="8" t="n">
        <x:f>C24+('食客奖励'!E8-C24)*0.25</x:f>
        <x:v>11.75</x:v>
      </x:c>
      <x:c r="E24" s="8" t="n">
        <x:f>C24+('食客奖励'!E8-C24)*0.5</x:f>
        <x:v>18.5</x:v>
      </x:c>
      <x:c r="F24" s="8" t="n">
        <x:f>C24+('食客奖励'!E8-C24)*0.75</x:f>
        <x:v>25.25</x:v>
      </x:c>
      <x:c r="G24" s="8" t="n">
        <x:f>'食客奖励'!E8</x:f>
        <x:v>32</x:v>
      </x:c>
      <x:c r="H24" s="5" t="str">
        <x:f>'食客奖励'!F8</x:f>
        <x:v>点</x:v>
      </x:c>
      <x:c r="I24" s="5" t="b">
        <x:f>'食客奖励'!H8</x:f>
        <x:v>1</x:v>
      </x:c>
      <x:c r="J24" s="11" t="str">
        <x:f>'食客奖励'!G8</x:f>
        <x:v>耐久 {value}</x:v>
      </x:c>
    </x:row>
    <x:row r="25" ht="15" customHeight="1">
      <x:c r="A25" s="6" t="str">
        <x:f>'食客奖励'!B9</x:f>
        <x:v>紧急维修</x:v>
      </x:c>
      <x:c r="B25" s="6" t="str">
        <x:f>'食客奖励'!C9</x:f>
        <x:v>repair</x:v>
      </x:c>
      <x:c r="C25" s="9" t="n">
        <x:f>'食客奖励'!D9</x:f>
        <x:v>0.05</x:v>
      </x:c>
      <x:c r="D25" s="9" t="n">
        <x:f>C25+('食客奖励'!E9-C25)*0.25</x:f>
        <x:v>0.1375</x:v>
      </x:c>
      <x:c r="E25" s="9" t="n">
        <x:f>C25+('食客奖励'!E9-C25)*0.5</x:f>
        <x:v>0.22500000000000003</x:v>
      </x:c>
      <x:c r="F25" s="9" t="n">
        <x:f>C25+('食客奖励'!E9-C25)*0.75</x:f>
        <x:v>0.3125</x:v>
      </x:c>
      <x:c r="G25" s="9" t="n">
        <x:f>'食客奖励'!E9</x:f>
        <x:v>0.4</x:v>
      </x:c>
      <x:c r="H25" s="6" t="str">
        <x:f>'食客奖励'!F9</x:f>
        <x:v>%</x:v>
      </x:c>
      <x:c r="I25" s="6" t="b">
        <x:f>'食客奖励'!H9</x:f>
        <x:v>1</x:v>
      </x:c>
      <x:c r="J25" s="12" t="str">
        <x:f>'食客奖励'!G9</x:f>
        <x:v>恢复/护盾 {repair_points}</x:v>
      </x:c>
    </x:row>
  </x:sheetData>
  <x:mergeCells>
    <x:mergeCell ref="A1:J1"/>
    <x:mergeCell ref="A5:J5"/>
    <x:mergeCell ref="A2:J3"/>
    <x:mergeCell ref="A16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3.800000190734863"/>
  <x:cols>
    <x:col min="1" max="1" width="20" customWidth="1"/>
    <x:col min="2" max="3" width="18" customWidth="1"/>
    <x:col min="4" max="6" width="14" customWidth="1"/>
    <x:col min="7" max="7" width="56" customWidth="1"/>
    <x:col min="8" max="8" width="10" customWidth="1"/>
  </x:cols>
  <x:sheetData>
    <x:row r="1" ht="30" customHeight="1">
      <x:c r="A1" s="1" t="inlineStr">
        <x:is>
          <x:t xml:space="preserve">强化ID</x:t>
        </x:is>
      </x:c>
      <x:c r="B1" s="1" t="inlineStr">
        <x:is>
          <x:t xml:space="preserve">显示名称</x:t>
        </x:is>
      </x:c>
      <x:c r="C1" s="1" t="inlineStr">
        <x:is>
          <x:t xml:space="preserve">类型</x:t>
        </x:is>
      </x:c>
      <x:c r="D1" s="1" t="inlineStr">
        <x:is>
          <x:t xml:space="preserve">最小值</x:t>
        </x:is>
      </x:c>
      <x:c r="E1" s="1" t="inlineStr">
        <x:is>
          <x:t xml:space="preserve">最大值</x:t>
        </x:is>
      </x:c>
      <x:c r="F1" s="1" t="inlineStr">
        <x:is>
          <x:t xml:space="preserve">显示后缀</x:t>
        </x:is>
      </x:c>
      <x:c r="G1" s="1" t="inlineStr">
        <x:is>
          <x:t xml:space="preserve">门牌描述模板</x:t>
        </x:is>
      </x:c>
      <x:c r="H1" s="1" t="inlineStr">
        <x:is>
          <x:t xml:space="preserve">启用</x:t>
        </x:is>
      </x:c>
    </x:row>
    <x:row r="2" ht="34.04999923706055" customHeight="1">
      <x:c r="A2" s="14" t="inlineStr">
        <x:is>
          <x:t xml:space="preserve">sugar</x:t>
        </x:is>
      </x:c>
      <x:c r="B2" s="14" t="inlineStr">
        <x:is>
          <x:t xml:space="preserve">糖</x:t>
        </x:is>
      </x:c>
      <x:c r="C2" s="14" t="inlineStr">
        <x:is>
          <x:t xml:space="preserve">sugar</x:t>
        </x:is>
      </x:c>
      <x:c r="D2" s="26" t="n">
        <x:v>0.05</x:v>
      </x:c>
      <x:c r="E2" s="26" t="n">
        <x:v>0.45</x:v>
      </x:c>
      <x:c r="F2" s="18" t="inlineStr">
        <x:is>
          <x:t xml:space="preserve">%</x:t>
        </x:is>
      </x:c>
      <x:c r="G2" s="23" t="inlineStr">
        <x:is>
          <x:t xml:space="preserve">饱腹度 {value}</x:t>
        </x:is>
      </x:c>
      <x:c r="H2" s="18" t="b">
        <x:v>1</x:v>
      </x:c>
    </x:row>
    <x:row r="3" ht="34.04999923706055" customHeight="1">
      <x:c r="A3" s="15" t="inlineStr">
        <x:is>
          <x:t xml:space="preserve">quick_prep</x:t>
        </x:is>
      </x:c>
      <x:c r="B3" s="15" t="inlineStr">
        <x:is>
          <x:t xml:space="preserve">快速备餐</x:t>
        </x:is>
      </x:c>
      <x:c r="C3" s="15" t="inlineStr">
        <x:is>
          <x:t xml:space="preserve">quick_prep</x:t>
        </x:is>
      </x:c>
      <x:c r="D3" s="27" t="n">
        <x:v>0.02</x:v>
      </x:c>
      <x:c r="E3" s="27" t="n">
        <x:v>0.2</x:v>
      </x:c>
      <x:c r="F3" s="20" t="inlineStr">
        <x:is>
          <x:t xml:space="preserve">%</x:t>
        </x:is>
      </x:c>
      <x:c r="G3" s="24" t="inlineStr">
        <x:is>
          <x:t xml:space="preserve">攻速 {value}</x:t>
        </x:is>
      </x:c>
      <x:c r="H3" s="20" t="b">
        <x:v>1</x:v>
      </x:c>
    </x:row>
    <x:row r="4" ht="34.04999923706055" customHeight="1">
      <x:c r="A4" s="15" t="inlineStr">
        <x:is>
          <x:t xml:space="preserve">light_cart</x:t>
        </x:is>
      </x:c>
      <x:c r="B4" s="15" t="inlineStr">
        <x:is>
          <x:t xml:space="preserve">轻便餐车</x:t>
        </x:is>
      </x:c>
      <x:c r="C4" s="15" t="inlineStr">
        <x:is>
          <x:t xml:space="preserve">light_cart</x:t>
        </x:is>
      </x:c>
      <x:c r="D4" s="28" t="n">
        <x:v>50</x:v>
      </x:c>
      <x:c r="E4" s="28" t="n">
        <x:v>300</x:v>
      </x:c>
      <x:c r="F4" s="20" t="inlineStr">
        <x:is>
          <x:t xml:space="preserve">速度</x:t>
        </x:is>
      </x:c>
      <x:c r="G4" s="24" t="inlineStr">
        <x:is>
          <x:t xml:space="preserve">移速 {value}</x:t>
        </x:is>
      </x:c>
      <x:c r="H4" s="20" t="b">
        <x:v>1</x:v>
      </x:c>
    </x:row>
    <x:row r="5" ht="34.04999923706055" customHeight="1">
      <x:c r="A5" s="15" t="inlineStr">
        <x:is>
          <x:t xml:space="preserve">sturdy_cart</x:t>
        </x:is>
      </x:c>
      <x:c r="B5" s="15" t="inlineStr">
        <x:is>
          <x:t xml:space="preserve">餐车改造</x:t>
        </x:is>
      </x:c>
      <x:c r="C5" s="15" t="inlineStr">
        <x:is>
          <x:t xml:space="preserve">sturdy_cart</x:t>
        </x:is>
      </x:c>
      <x:c r="D5" s="28" t="n">
        <x:v>5</x:v>
      </x:c>
      <x:c r="E5" s="28" t="n">
        <x:v>32</x:v>
      </x:c>
      <x:c r="F5" s="20" t="inlineStr">
        <x:is>
          <x:t xml:space="preserve">点</x:t>
        </x:is>
      </x:c>
      <x:c r="G5" s="24" t="inlineStr">
        <x:is>
          <x:t xml:space="preserve">耐久 {value}</x:t>
        </x:is>
      </x:c>
      <x:c r="H5" s="20" t="b">
        <x:v>1</x:v>
      </x:c>
    </x:row>
    <x:row r="6" ht="34.04999923706055" customHeight="1">
      <x:c r="A6" s="15" t="inlineStr">
        <x:is>
          <x:t xml:space="preserve">repair</x:t>
        </x:is>
      </x:c>
      <x:c r="B6" s="15" t="inlineStr">
        <x:is>
          <x:t xml:space="preserve">紧急维修</x:t>
        </x:is>
      </x:c>
      <x:c r="C6" s="15" t="inlineStr">
        <x:is>
          <x:t xml:space="preserve">repair</x:t>
        </x:is>
      </x:c>
      <x:c r="D6" s="27" t="n">
        <x:v>0.05</x:v>
      </x:c>
      <x:c r="E6" s="27" t="n">
        <x:v>0.4</x:v>
      </x:c>
      <x:c r="F6" s="20" t="inlineStr">
        <x:is>
          <x:t xml:space="preserve">%</x:t>
        </x:is>
      </x:c>
      <x:c r="G6" s="24" t="inlineStr">
        <x:is>
          <x:t xml:space="preserve">恢复/护盾 {repair_points}</x:t>
        </x:is>
      </x:c>
      <x:c r="H6" s="20" t="b">
        <x:v>1</x:v>
      </x:c>
    </x:row>
    <x:row r="7" ht="34.04999923706055" customHeight="1">
      <x:c r="A7" s="15" t="inlineStr">
        <x:is>
          <x:t xml:space="preserve">wine</x:t>
        </x:is>
      </x:c>
      <x:c r="B7" s="15" t="inlineStr">
        <x:is>
          <x:t xml:space="preserve">酒</x:t>
        </x:is>
      </x:c>
      <x:c r="C7" s="15" t="inlineStr">
        <x:is>
          <x:t xml:space="preserve">wine</x:t>
        </x:is>
      </x:c>
      <x:c r="D7" s="27" t="n">
        <x:v>0.1</x:v>
      </x:c>
      <x:c r="E7" s="27" t="n">
        <x:v>0.5</x:v>
      </x:c>
      <x:c r="F7" s="20" t="inlineStr">
        <x:is>
          <x:t xml:space="preserve">%</x:t>
        </x:is>
      </x:c>
      <x:c r="G7" s="24" t="inlineStr">
        <x:is>
          <x:t xml:space="preserve">运动速度 {value}</x:t>
        </x:is>
      </x:c>
      <x:c r="H7" s="20" t="b">
        <x:v>1</x:v>
      </x:c>
    </x:row>
    <x:row r="8" ht="34.04999923706055" customHeight="1">
      <x:c r="A8" s="15" t="inlineStr">
        <x:is>
          <x:t xml:space="preserve">scallion</x:t>
        </x:is>
      </x:c>
      <x:c r="B8" s="15" t="inlineStr">
        <x:is>
          <x:t xml:space="preserve">葱</x:t>
        </x:is>
      </x:c>
      <x:c r="C8" s="15" t="inlineStr">
        <x:is>
          <x:t xml:space="preserve">scallion</x:t>
        </x:is>
      </x:c>
      <x:c r="D8" s="27" t="n">
        <x:v>0.1</x:v>
      </x:c>
      <x:c r="E8" s="27" t="n">
        <x:v>0.6</x:v>
      </x:c>
      <x:c r="F8" s="20" t="inlineStr">
        <x:is>
          <x:t xml:space="preserve">%</x:t>
        </x:is>
      </x:c>
      <x:c r="G8" s="24" t="inlineStr">
        <x:is>
          <x:t xml:space="preserve">范围 {value}</x:t>
        </x:is>
      </x:c>
      <x:c r="H8" s="20" t="b">
        <x:v>1</x:v>
      </x:c>
    </x:row>
    <x:row r="9" ht="34.04999923706055" customHeight="1">
      <x:c r="A9" s="16" t="inlineStr">
        <x:is>
          <x:t xml:space="preserve">starch</x:t>
        </x:is>
      </x:c>
      <x:c r="B9" s="16" t="inlineStr">
        <x:is>
          <x:t xml:space="preserve">淀粉</x:t>
        </x:is>
      </x:c>
      <x:c r="C9" s="16" t="inlineStr">
        <x:is>
          <x:t xml:space="preserve">starch</x:t>
        </x:is>
      </x:c>
      <x:c r="D9" s="29" t="n">
        <x:v>0.15</x:v>
      </x:c>
      <x:c r="E9" s="29" t="n">
        <x:v>0.75</x:v>
      </x:c>
      <x:c r="F9" s="22" t="inlineStr">
        <x:is>
          <x:t xml:space="preserve">%</x:t>
        </x:is>
      </x:c>
      <x:c r="G9" s="25" t="inlineStr">
        <x:is>
          <x:t xml:space="preserve">持续 {value}</x:t>
        </x:is>
      </x:c>
      <x:c r="H9" s="22" t="b">
        <x:v>1</x:v>
      </x:c>
    </x:row>
  </x:sheetData>
  <x:dataValidations count="2">
    <x:dataValidation type="list" allowBlank="0" showDropDown="0" showInputMessage="0" showErrorMessage="0" sqref="C2:C9">
      <x:formula1>"sugar,quick_prep,wine,scallion,starch,light_cart,sturdy_cart,repair"</x:formula1>
    </x:dataValidation>
    <x:dataValidation type="list" allowBlank="0" showDropDown="0" showInputMessage="0" showErrorMessage="0" sqref="H2:H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232980a81241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3.800000190734863"/>
  <x:cols>
    <x:col min="1" max="1" width="20" customWidth="1"/>
    <x:col min="2" max="3" width="18" customWidth="1"/>
    <x:col min="4" max="6" width="14" customWidth="1"/>
    <x:col min="7" max="7" width="56" customWidth="1"/>
    <x:col min="8" max="8" width="10" customWidth="1"/>
  </x:cols>
  <x:sheetData>
    <x:row r="1" ht="30" customHeight="1">
      <x:c r="A1" s="1" t="inlineStr">
        <x:is>
          <x:t xml:space="preserve">强化ID</x:t>
        </x:is>
      </x:c>
      <x:c r="B1" s="1" t="inlineStr">
        <x:is>
          <x:t xml:space="preserve">显示名称</x:t>
        </x:is>
      </x:c>
      <x:c r="C1" s="1" t="inlineStr">
        <x:is>
          <x:t xml:space="preserve">类型</x:t>
        </x:is>
      </x:c>
      <x:c r="D1" s="1" t="inlineStr">
        <x:is>
          <x:t xml:space="preserve">最小值</x:t>
        </x:is>
      </x:c>
      <x:c r="E1" s="1" t="inlineStr">
        <x:is>
          <x:t xml:space="preserve">最大值</x:t>
        </x:is>
      </x:c>
      <x:c r="F1" s="1" t="inlineStr">
        <x:is>
          <x:t xml:space="preserve">显示后缀</x:t>
        </x:is>
      </x:c>
      <x:c r="G1" s="1" t="inlineStr">
        <x:is>
          <x:t xml:space="preserve">门牌描述模板</x:t>
        </x:is>
      </x:c>
      <x:c r="H1" s="1" t="inlineStr">
        <x:is>
          <x:t xml:space="preserve">启用</x:t>
        </x:is>
      </x:c>
    </x:row>
    <x:row r="2" ht="34.04999923706055" customHeight="1">
      <x:c r="A2" s="14" t="inlineStr">
        <x:is>
          <x:t xml:space="preserve">drop_sugar</x:t>
        </x:is>
      </x:c>
      <x:c r="B2" s="14" t="inlineStr">
        <x:is>
          <x:t xml:space="preserve">糖</x:t>
        </x:is>
      </x:c>
      <x:c r="C2" s="14" t="inlineStr">
        <x:is>
          <x:t xml:space="preserve">sugar</x:t>
        </x:is>
      </x:c>
      <x:c r="D2" s="26" t="n">
        <x:v>0.05</x:v>
      </x:c>
      <x:c r="E2" s="26" t="n">
        <x:v>0.45</x:v>
      </x:c>
      <x:c r="F2" s="18" t="inlineStr">
        <x:is>
          <x:t xml:space="preserve">%</x:t>
        </x:is>
      </x:c>
      <x:c r="G2" s="23" t="inlineStr">
        <x:is>
          <x:t xml:space="preserve">饱腹度 {value}</x:t>
        </x:is>
      </x:c>
      <x:c r="H2" s="18" t="b">
        <x:v>1</x:v>
      </x:c>
    </x:row>
    <x:row r="3" ht="34.04999923706055" customHeight="1">
      <x:c r="A3" s="15" t="inlineStr">
        <x:is>
          <x:t xml:space="preserve">drop_quick</x:t>
        </x:is>
      </x:c>
      <x:c r="B3" s="15" t="inlineStr">
        <x:is>
          <x:t xml:space="preserve">备餐</x:t>
        </x:is>
      </x:c>
      <x:c r="C3" s="15" t="inlineStr">
        <x:is>
          <x:t xml:space="preserve">quick_prep</x:t>
        </x:is>
      </x:c>
      <x:c r="D3" s="27" t="n">
        <x:v>0.02</x:v>
      </x:c>
      <x:c r="E3" s="27" t="n">
        <x:v>0.2</x:v>
      </x:c>
      <x:c r="F3" s="20" t="inlineStr">
        <x:is>
          <x:t xml:space="preserve">%</x:t>
        </x:is>
      </x:c>
      <x:c r="G3" s="24" t="inlineStr">
        <x:is>
          <x:t xml:space="preserve">攻速 {value}</x:t>
        </x:is>
      </x:c>
      <x:c r="H3" s="20" t="b">
        <x:v>1</x:v>
      </x:c>
    </x:row>
    <x:row r="4" ht="34.04999923706055" customHeight="1">
      <x:c r="A4" s="15" t="inlineStr">
        <x:is>
          <x:t xml:space="preserve">drop_wine</x:t>
        </x:is>
      </x:c>
      <x:c r="B4" s="15" t="inlineStr">
        <x:is>
          <x:t xml:space="preserve">酒</x:t>
        </x:is>
      </x:c>
      <x:c r="C4" s="15" t="inlineStr">
        <x:is>
          <x:t xml:space="preserve">wine</x:t>
        </x:is>
      </x:c>
      <x:c r="D4" s="27" t="n">
        <x:v>0.1</x:v>
      </x:c>
      <x:c r="E4" s="27" t="n">
        <x:v>0.5</x:v>
      </x:c>
      <x:c r="F4" s="20" t="inlineStr">
        <x:is>
          <x:t xml:space="preserve">%</x:t>
        </x:is>
      </x:c>
      <x:c r="G4" s="24" t="inlineStr">
        <x:is>
          <x:t xml:space="preserve">运动速度 {value}</x:t>
        </x:is>
      </x:c>
      <x:c r="H4" s="20" t="b">
        <x:v>1</x:v>
      </x:c>
    </x:row>
    <x:row r="5" ht="34.04999923706055" customHeight="1">
      <x:c r="A5" s="15" t="inlineStr">
        <x:is>
          <x:t xml:space="preserve">drop_scallion</x:t>
        </x:is>
      </x:c>
      <x:c r="B5" s="15" t="inlineStr">
        <x:is>
          <x:t xml:space="preserve">葱</x:t>
        </x:is>
      </x:c>
      <x:c r="C5" s="15" t="inlineStr">
        <x:is>
          <x:t xml:space="preserve">scallion</x:t>
        </x:is>
      </x:c>
      <x:c r="D5" s="27" t="n">
        <x:v>0.1</x:v>
      </x:c>
      <x:c r="E5" s="27" t="n">
        <x:v>0.6</x:v>
      </x:c>
      <x:c r="F5" s="20" t="inlineStr">
        <x:is>
          <x:t xml:space="preserve">%</x:t>
        </x:is>
      </x:c>
      <x:c r="G5" s="24" t="inlineStr">
        <x:is>
          <x:t xml:space="preserve">范围 {value}</x:t>
        </x:is>
      </x:c>
      <x:c r="H5" s="20" t="b">
        <x:v>1</x:v>
      </x:c>
    </x:row>
    <x:row r="6" ht="34.04999923706055" customHeight="1">
      <x:c r="A6" s="15" t="inlineStr">
        <x:is>
          <x:t xml:space="preserve">drop_starch</x:t>
        </x:is>
      </x:c>
      <x:c r="B6" s="15" t="inlineStr">
        <x:is>
          <x:t xml:space="preserve">淀粉</x:t>
        </x:is>
      </x:c>
      <x:c r="C6" s="15" t="inlineStr">
        <x:is>
          <x:t xml:space="preserve">starch</x:t>
        </x:is>
      </x:c>
      <x:c r="D6" s="27" t="n">
        <x:v>0.15</x:v>
      </x:c>
      <x:c r="E6" s="27" t="n">
        <x:v>0.75</x:v>
      </x:c>
      <x:c r="F6" s="20" t="inlineStr">
        <x:is>
          <x:t xml:space="preserve">%</x:t>
        </x:is>
      </x:c>
      <x:c r="G6" s="24" t="inlineStr">
        <x:is>
          <x:t xml:space="preserve">持续 {value}</x:t>
        </x:is>
      </x:c>
      <x:c r="H6" s="20" t="b">
        <x:v>1</x:v>
      </x:c>
    </x:row>
    <x:row r="7" ht="34.04999923706055" customHeight="1">
      <x:c r="A7" s="15" t="inlineStr">
        <x:is>
          <x:t xml:space="preserve">drop_light</x:t>
        </x:is>
      </x:c>
      <x:c r="B7" s="15" t="inlineStr">
        <x:is>
          <x:t xml:space="preserve">轻车</x:t>
        </x:is>
      </x:c>
      <x:c r="C7" s="15" t="inlineStr">
        <x:is>
          <x:t xml:space="preserve">light_cart</x:t>
        </x:is>
      </x:c>
      <x:c r="D7" s="28" t="n">
        <x:v>50</x:v>
      </x:c>
      <x:c r="E7" s="28" t="n">
        <x:v>300</x:v>
      </x:c>
      <x:c r="F7" s="20" t="inlineStr">
        <x:is>
          <x:t xml:space="preserve">速度</x:t>
        </x:is>
      </x:c>
      <x:c r="G7" s="24" t="inlineStr">
        <x:is>
          <x:t xml:space="preserve">移速 {value}</x:t>
        </x:is>
      </x:c>
      <x:c r="H7" s="20" t="b">
        <x:v>1</x:v>
      </x:c>
    </x:row>
    <x:row r="8" ht="34.04999923706055" customHeight="1">
      <x:c r="A8" s="15" t="inlineStr">
        <x:is>
          <x:t xml:space="preserve">drop_sturdy</x:t>
        </x:is>
      </x:c>
      <x:c r="B8" s="15" t="inlineStr">
        <x:is>
          <x:t xml:space="preserve">餐车改造</x:t>
        </x:is>
      </x:c>
      <x:c r="C8" s="15" t="inlineStr">
        <x:is>
          <x:t xml:space="preserve">sturdy_cart</x:t>
        </x:is>
      </x:c>
      <x:c r="D8" s="28" t="n">
        <x:v>5</x:v>
      </x:c>
      <x:c r="E8" s="28" t="n">
        <x:v>32</x:v>
      </x:c>
      <x:c r="F8" s="20" t="inlineStr">
        <x:is>
          <x:t xml:space="preserve">点</x:t>
        </x:is>
      </x:c>
      <x:c r="G8" s="24" t="inlineStr">
        <x:is>
          <x:t xml:space="preserve">耐久 {value}</x:t>
        </x:is>
      </x:c>
      <x:c r="H8" s="20" t="b">
        <x:v>1</x:v>
      </x:c>
    </x:row>
    <x:row r="9" ht="34.04999923706055" customHeight="1">
      <x:c r="A9" s="16" t="inlineStr">
        <x:is>
          <x:t xml:space="preserve">drop_repair</x:t>
        </x:is>
      </x:c>
      <x:c r="B9" s="16" t="inlineStr">
        <x:is>
          <x:t xml:space="preserve">紧急维修</x:t>
        </x:is>
      </x:c>
      <x:c r="C9" s="16" t="inlineStr">
        <x:is>
          <x:t xml:space="preserve">repair</x:t>
        </x:is>
      </x:c>
      <x:c r="D9" s="29" t="n">
        <x:v>0.05</x:v>
      </x:c>
      <x:c r="E9" s="29" t="n">
        <x:v>0.4</x:v>
      </x:c>
      <x:c r="F9" s="22" t="inlineStr">
        <x:is>
          <x:t xml:space="preserve">%</x:t>
        </x:is>
      </x:c>
      <x:c r="G9" s="25" t="inlineStr">
        <x:is>
          <x:t xml:space="preserve">恢复/护盾 {repair_points}</x:t>
        </x:is>
      </x:c>
      <x:c r="H9" s="22" t="b">
        <x:v>1</x:v>
      </x:c>
    </x:row>
  </x:sheetData>
  <x:dataValidations count="2">
    <x:dataValidation type="list" allowBlank="0" showDropDown="0" showInputMessage="0" showErrorMessage="0" sqref="C2:C9">
      <x:formula1>"sugar,quick_prep,wine,scallion,starch,light_cart,sturdy_cart,repair"</x:formula1>
    </x:dataValidation>
    <x:dataValidation type="list" allowBlank="0" showDropDown="0" showInputMessage="0" showErrorMessage="0" sqref="H2:H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d02238f43d41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3.800000190734863"/>
  <x:cols>
    <x:col min="1" max="1" width="30" customWidth="1"/>
    <x:col min="2" max="2" width="34" customWidth="1"/>
    <x:col min="3" max="3" width="48" customWidth="1"/>
  </x:cols>
  <x:sheetData>
    <x:row r="1" ht="30" customHeight="1">
      <x:c r="A1" s="1" t="inlineStr">
        <x:is>
          <x:t xml:space="preserve">参数ID</x:t>
        </x:is>
      </x:c>
      <x:c r="B1" s="1" t="inlineStr">
        <x:is>
          <x:t xml:space="preserve">数值</x:t>
        </x:is>
      </x:c>
      <x:c r="C1" s="1" t="inlineStr">
        <x:is>
          <x:t xml:space="preserve">说明</x:t>
        </x:is>
      </x:c>
    </x:row>
    <x:row r="2" ht="15" customHeight="1">
      <x:c r="A2" s="2" t="inlineStr">
        <x:is>
          <x:t xml:space="preserve">schema_id</x:t>
        </x:is>
      </x:c>
      <x:c r="B2" s="14" t="inlineStr">
        <x:is>
          <x:t xml:space="preserve">xiaochuxi.normal_upgrades</x:t>
        </x:is>
      </x:c>
      <x:c r="C2" s="2" t="inlineStr">
        <x:is>
          <x:t xml:space="preserve">普通强化表结构标识，请勿修改</x:t>
        </x:is>
      </x:c>
    </x:row>
    <x:row r="3" ht="15" customHeight="1">
      <x:c r="A3" s="3" t="inlineStr">
        <x:is>
          <x:t xml:space="preserve">schema_version</x:t>
        </x:is>
      </x:c>
      <x:c r="B3" s="16" t="n">
        <x:v>1</x:v>
      </x:c>
      <x:c r="C3" s="3" t="inlineStr">
        <x:is>
          <x:t xml:space="preserve">结构版本，请勿修改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e473cb7232b4d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3.800000190734863"/>
  <x:cols>
    <x:col min="1" max="1" width="20" customWidth="1"/>
    <x:col min="2" max="2" width="94" customWidth="1"/>
  </x:cols>
  <x:sheetData>
    <x:row r="1" ht="30" customHeight="1">
      <x:c r="A1" s="1" t="inlineStr">
        <x:is>
          <x:t xml:space="preserve">项目</x:t>
        </x:is>
      </x:c>
      <x:c r="B1" s="1" t="inlineStr">
        <x:is>
          <x:t xml:space="preserve">说明</x:t>
        </x:is>
      </x:c>
    </x:row>
    <x:row r="2" ht="42" customHeight="1">
      <x:c r="A2" s="14" t="inlineStr">
        <x:is>
          <x:t xml:space="preserve">生效方式</x:t>
        </x:is>
      </x:c>
      <x:c r="B2" s="30" t="inlineStr">
        <x:is>
          <x:t xml:space="preserve">保存并关闭后重新开始本局；新生成的普通门和食客奖励门使用新表，已生成对象不热替换。</x:t>
        </x:is>
      </x:c>
    </x:row>
    <x:row r="3" ht="42" customHeight="1">
      <x:c r="A3" s="15" t="inlineStr">
        <x:is>
          <x:t xml:space="preserve">百分比输入</x:t>
        </x:is>
      </x:c>
      <x:c r="B3" s="31" t="inlineStr">
        <x:is>
          <x:t xml:space="preserve">百分号强化使用真实小数，例如 5% 填 0.05；Excel 显示为百分号不改变存储值。</x:t>
        </x:is>
      </x:c>
    </x:row>
    <x:row r="4" ht="42" customHeight="1">
      <x:c r="A4" s="15" t="inlineStr">
        <x:is>
          <x:t xml:space="preserve">门牌文案</x:t>
        </x:is>
      </x:c>
      <x:c r="B4" s="31" t="inlineStr">
        <x:is>
          <x:t xml:space="preserve">普通门与食客奖励门分别读取。模板支持 {name}、{value} 和 {repair_points}；会同步用于门牌、奖励门和领取提示。</x:t>
        </x:is>
      </x:c>
    </x:row>
    <x:row r="5" ht="42" customHeight="1">
      <x:c r="A5" s="15" t="inlineStr">
        <x:is>
          <x:t xml:space="preserve">启用限制</x:t>
        </x:is>
      </x:c>
      <x:c r="B5" s="31" t="inlineStr">
        <x:is>
          <x:t xml:space="preserve">普通门至少启用两项，食客奖励至少启用一项；否则整本表回退。</x:t>
        </x:is>
      </x:c>
    </x:row>
    <x:row r="6" ht="42" customHeight="1">
      <x:c r="A6" s="16" t="inlineStr">
        <x:is>
          <x:t xml:space="preserve">失败回退</x:t>
        </x:is>
      </x:c>
      <x:c r="B6" s="32" t="inlineStr">
        <x:is>
          <x:t xml:space="preserve">文件缺失或数据非法时，游戏继续使用 run_3d.gd 中当前竖切片的安全区间。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5f5bf077ab8430a"/>
  </x:tableParts>
</x:worksheet>
</file>