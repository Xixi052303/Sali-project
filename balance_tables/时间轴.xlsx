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时间轴预览" sheetId="1" state="visible" r:id="rId1"/>
    <sheet xmlns:r="http://schemas.openxmlformats.org/officeDocument/2006/relationships" name="配置" sheetId="2" state="visible" r:id="rId2"/>
    <sheet xmlns:r="http://schemas.openxmlformats.org/officeDocument/2006/relationships" name="事件" sheetId="3" state="visible" r:id="rId3"/>
    <sheet xmlns:r="http://schemas.openxmlformats.org/officeDocument/2006/relationships" name="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0.0%"/>
    <numFmt numFmtId="166" formatCode="0.0"/>
    <numFmt numFmtId="167" formatCode="0.###"/>
  </numFmts>
  <fonts count="8">
    <font>
      <name val="Carlito"/>
      <sz val="11"/>
    </font>
    <font>
      <name val="Microsoft YaHei"/>
      <charset val="134"/>
      <family val="2"/>
      <b val="1"/>
      <color rgb="FFFFFFFF"/>
      <sz val="10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b val="1"/>
      <color rgb="FF243238"/>
      <sz val="10"/>
    </font>
    <font>
      <name val="Carlito"/>
      <sz val="11"/>
    </font>
    <font>
      <name val="宋体"/>
      <charset val="134"/>
      <family val="3"/>
      <sz val="9"/>
    </font>
    <font>
      <name val="Microsoft YaHei"/>
      <charset val="134"/>
      <family val="2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243238"/>
      </patternFill>
    </fill>
    <fill>
      <patternFill patternType="solid">
        <fgColor rgb="FFFFF3CD"/>
      </patternFill>
    </fill>
    <fill>
      <patternFill patternType="solid">
        <fgColor rgb="FFE8F3EC"/>
      </patternFill>
    </fill>
    <fill>
      <patternFill patternType="solid">
        <fgColor rgb="FFDCE7E1"/>
      </patternFill>
    </fill>
    <fill>
      <patternFill patternType="solid">
        <fgColor rgb="FFE7F0F8"/>
      </patternFill>
    </fill>
    <fill>
      <patternFill patternType="solid">
        <fgColor theme="3" tint="0.899990844447157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/>
      <top/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/>
      <top style="thin">
        <color rgb="FFD7DDD9"/>
      </top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/>
      <top style="thin">
        <color rgb="FFD7DDD9"/>
      </top>
      <bottom/>
      <diagonal/>
    </border>
    <border>
      <left/>
      <right style="thin">
        <color rgb="FFD7DDD9"/>
      </right>
      <top/>
      <bottom/>
      <diagonal/>
    </border>
  </borders>
  <cellStyleXfs count="2">
    <xf numFmtId="0" fontId="5" fillId="0" borderId="0"/>
    <xf numFmtId="0" fontId="5" fillId="0" borderId="0"/>
  </cellStyleXfs>
  <cellXfs count="91">
    <xf numFmtId="0" fontId="0" fillId="0" borderId="0" pivotButton="0" quotePrefix="0" xfId="0"/>
    <xf numFmtId="0" fontId="2" fillId="3" borderId="1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3" borderId="2" applyAlignment="1" pivotButton="0" quotePrefix="0" xfId="1">
      <alignment vertical="center"/>
    </xf>
    <xf numFmtId="0" fontId="2" fillId="0" borderId="2" applyAlignment="1" pivotButton="0" quotePrefix="0" xfId="1">
      <alignment vertical="center" wrapText="1"/>
    </xf>
    <xf numFmtId="0" fontId="2" fillId="3" borderId="3" applyAlignment="1" pivotButton="0" quotePrefix="0" xfId="1">
      <alignment vertical="center"/>
    </xf>
    <xf numFmtId="0" fontId="2" fillId="0" borderId="3" applyAlignment="1" pivotButton="0" quotePrefix="0" xfId="1">
      <alignment vertical="center" wrapText="1"/>
    </xf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1" fillId="4" borderId="4" applyAlignment="1" pivotButton="0" quotePrefix="0" xfId="0">
      <alignment horizontal="center" wrapText="1"/>
    </xf>
    <xf numFmtId="0" fontId="1" fillId="4" borderId="5" applyAlignment="1" pivotButton="0" quotePrefix="0" xfId="0">
      <alignment horizontal="center" wrapText="1"/>
    </xf>
    <xf numFmtId="0" fontId="1" fillId="4" borderId="6" applyAlignment="1" pivotButton="0" quotePrefix="0" xfId="0">
      <alignment horizontal="center" wrapText="1"/>
    </xf>
    <xf numFmtId="0" fontId="0" fillId="5" borderId="8" pivotButton="0" quotePrefix="0" xfId="0"/>
    <xf numFmtId="0" fontId="0" fillId="6" borderId="8" pivotButton="0" quotePrefix="0" xfId="0"/>
    <xf numFmtId="0" fontId="0" fillId="6" borderId="8" applyAlignment="1" pivotButton="0" quotePrefix="0" xfId="0">
      <alignment wrapText="1"/>
    </xf>
    <xf numFmtId="0" fontId="0" fillId="5" borderId="11" pivotButton="0" quotePrefix="0" xfId="0"/>
    <xf numFmtId="0" fontId="0" fillId="6" borderId="11" pivotButton="0" quotePrefix="0" xfId="0"/>
    <xf numFmtId="0" fontId="0" fillId="6" borderId="11" applyAlignment="1" pivotButton="0" quotePrefix="0" xfId="0">
      <alignment wrapText="1"/>
    </xf>
    <xf numFmtId="0" fontId="1" fillId="4" borderId="4" applyAlignment="1" pivotButton="0" quotePrefix="0" xfId="0">
      <alignment horizontal="center" vertical="center" wrapText="1"/>
    </xf>
    <xf numFmtId="0" fontId="1" fillId="4" borderId="5" applyAlignment="1" pivotButton="0" quotePrefix="0" xfId="0">
      <alignment horizontal="center" vertical="center" wrapText="1"/>
    </xf>
    <xf numFmtId="0" fontId="1" fillId="4" borderId="6" applyAlignment="1" pivotButton="0" quotePrefix="0" xfId="0">
      <alignment horizontal="center" vertical="center" wrapText="1"/>
    </xf>
    <xf numFmtId="0" fontId="2" fillId="6" borderId="7" applyAlignment="1" pivotButton="0" quotePrefix="0" xfId="0">
      <alignment vertical="center"/>
    </xf>
    <xf numFmtId="0" fontId="2" fillId="6" borderId="8" applyAlignment="1" pivotButton="0" quotePrefix="0" xfId="0">
      <alignment vertical="center"/>
    </xf>
    <xf numFmtId="0" fontId="2" fillId="6" borderId="8" applyAlignment="1" pivotButton="0" quotePrefix="0" xfId="0">
      <alignment vertical="center" wrapText="1"/>
    </xf>
    <xf numFmtId="0" fontId="2" fillId="6" borderId="9" applyAlignment="1" pivotButton="0" quotePrefix="0" xfId="0">
      <alignment vertical="center" wrapText="1"/>
    </xf>
    <xf numFmtId="0" fontId="0" fillId="6" borderId="7" pivotButton="0" quotePrefix="0" xfId="0"/>
    <xf numFmtId="0" fontId="0" fillId="6" borderId="9" applyAlignment="1" pivotButton="0" quotePrefix="0" xfId="0">
      <alignment wrapText="1"/>
    </xf>
    <xf numFmtId="0" fontId="0" fillId="6" borderId="10" pivotButton="0" quotePrefix="0" xfId="0"/>
    <xf numFmtId="0" fontId="0" fillId="6" borderId="12" applyAlignment="1" pivotButton="0" quotePrefix="0" xfId="0">
      <alignment wrapText="1"/>
    </xf>
    <xf numFmtId="1" fontId="2" fillId="6" borderId="8" applyAlignment="1" pivotButton="0" quotePrefix="0" xfId="0">
      <alignment vertical="center"/>
    </xf>
    <xf numFmtId="0" fontId="2" fillId="0" borderId="0" pivotButton="0" quotePrefix="0" xfId="0"/>
    <xf numFmtId="0" fontId="4" fillId="7" borderId="7" pivotButton="0" quotePrefix="0" xfId="0"/>
    <xf numFmtId="0" fontId="4" fillId="7" borderId="8" pivotButton="0" quotePrefix="0" xfId="0"/>
    <xf numFmtId="0" fontId="4" fillId="7" borderId="9" pivotButton="0" quotePrefix="0" xfId="0"/>
    <xf numFmtId="0" fontId="2" fillId="6" borderId="7" pivotButton="0" quotePrefix="0" xfId="0"/>
    <xf numFmtId="0" fontId="2" fillId="0" borderId="8" pivotButton="0" quotePrefix="0" xfId="0"/>
    <xf numFmtId="0" fontId="2" fillId="6" borderId="8" pivotButton="0" quotePrefix="0" xfId="0"/>
    <xf numFmtId="0" fontId="2" fillId="0" borderId="9" pivotButton="0" quotePrefix="0" xfId="0"/>
    <xf numFmtId="0" fontId="2" fillId="6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4" fillId="7" borderId="7" applyAlignment="1" pivotButton="0" quotePrefix="0" xfId="0">
      <alignment horizontal="center"/>
    </xf>
    <xf numFmtId="0" fontId="4" fillId="7" borderId="8" applyAlignment="1" pivotButton="0" quotePrefix="0" xfId="0">
      <alignment horizontal="center"/>
    </xf>
    <xf numFmtId="0" fontId="4" fillId="7" borderId="9" applyAlignment="1" pivotButton="0" quotePrefix="0" xfId="0">
      <alignment horizontal="center"/>
    </xf>
    <xf numFmtId="0" fontId="2" fillId="6" borderId="11" pivotButton="0" quotePrefix="0" xfId="0"/>
    <xf numFmtId="0" fontId="2" fillId="6" borderId="8" applyAlignment="1" pivotButton="0" quotePrefix="0" xfId="0">
      <alignment wrapText="1"/>
    </xf>
    <xf numFmtId="0" fontId="2" fillId="6" borderId="11" applyAlignment="1" pivotButton="0" quotePrefix="0" xfId="0">
      <alignment wrapText="1"/>
    </xf>
    <xf numFmtId="0" fontId="1" fillId="4" borderId="4" applyAlignment="1" pivotButton="0" quotePrefix="0" xfId="0">
      <alignment horizontal="center"/>
    </xf>
    <xf numFmtId="0" fontId="1" fillId="4" borderId="6" applyAlignment="1" pivotButton="0" quotePrefix="0" xfId="0">
      <alignment horizontal="center"/>
    </xf>
    <xf numFmtId="1" fontId="2" fillId="8" borderId="7" pivotButton="0" quotePrefix="0" xfId="0"/>
    <xf numFmtId="1" fontId="2" fillId="8" borderId="10" pivotButton="0" quotePrefix="0" xfId="0"/>
    <xf numFmtId="3" fontId="2" fillId="8" borderId="9" pivotButton="0" quotePrefix="0" xfId="0"/>
    <xf numFmtId="3" fontId="2" fillId="8" borderId="12" pivotButton="0" quotePrefix="0" xfId="0"/>
    <xf numFmtId="0" fontId="2" fillId="9" borderId="8" pivotButton="0" quotePrefix="0" xfId="0"/>
    <xf numFmtId="0" fontId="2" fillId="9" borderId="11" pivotButton="0" quotePrefix="0" xfId="0"/>
    <xf numFmtId="164" fontId="2" fillId="8" borderId="8" pivotButton="0" quotePrefix="0" xfId="0"/>
    <xf numFmtId="164" fontId="2" fillId="8" borderId="9" pivotButton="0" quotePrefix="0" xfId="0"/>
    <xf numFmtId="165" fontId="2" fillId="9" borderId="7" pivotButton="0" quotePrefix="0" xfId="0"/>
    <xf numFmtId="166" fontId="2" fillId="5" borderId="9" pivotButton="0" quotePrefix="0" xfId="0"/>
    <xf numFmtId="164" fontId="2" fillId="8" borderId="11" pivotButton="0" quotePrefix="0" xfId="0"/>
    <xf numFmtId="165" fontId="2" fillId="9" borderId="10" pivotButton="0" quotePrefix="0" xfId="0"/>
    <xf numFmtId="166" fontId="2" fillId="5" borderId="12" pivotButton="0" quotePrefix="0" xfId="0"/>
    <xf numFmtId="167" fontId="2" fillId="5" borderId="8" applyAlignment="1" pivotButton="0" quotePrefix="0" xfId="0">
      <alignment vertical="center"/>
    </xf>
    <xf numFmtId="167" fontId="0" fillId="5" borderId="8" pivotButton="0" quotePrefix="0" xfId="0"/>
    <xf numFmtId="167" fontId="0" fillId="5" borderId="11" pivotButton="0" quotePrefix="0" xfId="0"/>
    <xf numFmtId="165" fontId="0" fillId="5" borderId="7" pivotButton="0" quotePrefix="0" xfId="0"/>
    <xf numFmtId="166" fontId="0" fillId="5" borderId="9" pivotButton="0" quotePrefix="0" xfId="0"/>
    <xf numFmtId="165" fontId="0" fillId="5" borderId="10" pivotButton="0" quotePrefix="0" xfId="0"/>
    <xf numFmtId="166" fontId="0" fillId="5" borderId="12" pivotButton="0" quotePrefix="0" xfId="0"/>
    <xf numFmtId="0" fontId="2" fillId="6" borderId="0" applyAlignment="1" pivotButton="0" quotePrefix="0" xfId="0">
      <alignment wrapText="1"/>
    </xf>
    <xf numFmtId="0" fontId="0" fillId="0" borderId="0" pivotButton="0" quotePrefix="0" xfId="0"/>
    <xf numFmtId="0" fontId="7" fillId="4" borderId="4" pivotButton="0" quotePrefix="0" xfId="0"/>
    <xf numFmtId="0" fontId="0" fillId="0" borderId="1" pivotButton="0" quotePrefix="0" xfId="0"/>
    <xf numFmtId="0" fontId="0" fillId="0" borderId="4" pivotButton="0" quotePrefix="0" xfId="0"/>
    <xf numFmtId="0" fontId="2" fillId="6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/>
    </xf>
    <xf numFmtId="0" fontId="7" fillId="4" borderId="0" pivotButton="0" quotePrefix="0" xfId="0"/>
    <xf numFmtId="164" fontId="2" fillId="8" borderId="8" pivotButton="0" quotePrefix="0" xfId="0"/>
    <xf numFmtId="164" fontId="2" fillId="8" borderId="9" pivotButton="0" quotePrefix="0" xfId="0"/>
    <xf numFmtId="165" fontId="2" fillId="9" borderId="7" pivotButton="0" quotePrefix="0" xfId="0"/>
    <xf numFmtId="166" fontId="2" fillId="5" borderId="9" pivotButton="0" quotePrefix="0" xfId="0"/>
    <xf numFmtId="164" fontId="2" fillId="8" borderId="11" pivotButton="0" quotePrefix="0" xfId="0"/>
    <xf numFmtId="165" fontId="2" fillId="9" borderId="10" pivotButton="0" quotePrefix="0" xfId="0"/>
    <xf numFmtId="166" fontId="2" fillId="5" borderId="12" pivotButton="0" quotePrefix="0" xfId="0"/>
    <xf numFmtId="167" fontId="2" fillId="5" borderId="8" applyAlignment="1" pivotButton="0" quotePrefix="0" xfId="0">
      <alignment vertical="center"/>
    </xf>
    <xf numFmtId="167" fontId="0" fillId="5" borderId="8" pivotButton="0" quotePrefix="0" xfId="0"/>
    <xf numFmtId="167" fontId="0" fillId="5" borderId="11" pivotButton="0" quotePrefix="0" xfId="0"/>
    <xf numFmtId="165" fontId="0" fillId="5" borderId="7" pivotButton="0" quotePrefix="0" xfId="0"/>
    <xf numFmtId="166" fontId="0" fillId="5" borderId="9" pivotButton="0" quotePrefix="0" xfId="0"/>
    <xf numFmtId="165" fontId="0" fillId="5" borderId="10" pivotButton="0" quotePrefix="0" xfId="0"/>
    <xf numFmtId="166" fontId="0" fillId="5" borderId="12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第一段 </a:t>
            </a:r>
            <a:r>
              <a:rPr lang="en-US" altLang="zh-CN" sz="900"/>
              <a:t>· 0–135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时间轴预览!$A$20:$A$30</f>
              <numCache>
                <formatCode>0</formatCode>
                <ptCount val="11"/>
                <pt idx="0">
                  <v>0</v>
                </pt>
                <pt idx="1">
                  <v>13.5</v>
                </pt>
                <pt idx="2">
                  <v>27</v>
                </pt>
                <pt idx="3">
                  <v>40.5</v>
                </pt>
                <pt idx="4">
                  <v>54</v>
                </pt>
                <pt idx="5">
                  <v>67.5</v>
                </pt>
                <pt idx="6">
                  <v>81</v>
                </pt>
                <pt idx="7">
                  <v>94.5</v>
                </pt>
                <pt idx="8">
                  <v>108</v>
                </pt>
                <pt idx="9">
                  <v>121.5</v>
                </pt>
                <pt idx="10">
                  <v>135</v>
                </pt>
              </numCache>
            </numRef>
          </cat>
          <val>
            <numRef>
              <f>时间轴预览!$B$20:$B$30</f>
              <numCache>
                <formatCode>#,##0</formatCode>
                <ptCount val="11"/>
                <pt idx="0">
                  <v>15</v>
                </pt>
                <pt idx="1">
                  <v>17</v>
                </pt>
                <pt idx="2">
                  <v>25</v>
                </pt>
                <pt idx="3">
                  <v>39</v>
                </pt>
                <pt idx="4">
                  <v>60</v>
                </pt>
                <pt idx="5">
                  <v>88</v>
                </pt>
                <pt idx="6">
                  <v>124</v>
                </pt>
                <pt idx="7">
                  <v>168</v>
                </pt>
                <pt idx="8">
                  <v>220</v>
                </pt>
                <pt idx="9">
                  <v>281</v>
                </pt>
                <pt idx="10">
                  <v>350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/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/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第二段 </a:t>
            </a:r>
            <a:r>
              <a:rPr lang="en-US" altLang="zh-CN" sz="900"/>
              <a:t>· 135–300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时间轴预览!$A$35:$A$45</f>
              <numCache>
                <formatCode>0</formatCode>
                <ptCount val="11"/>
                <pt idx="0">
                  <v>135</v>
                </pt>
                <pt idx="1">
                  <v>151.5</v>
                </pt>
                <pt idx="2">
                  <v>168</v>
                </pt>
                <pt idx="3">
                  <v>184.5</v>
                </pt>
                <pt idx="4">
                  <v>201</v>
                </pt>
                <pt idx="5">
                  <v>217.5</v>
                </pt>
                <pt idx="6">
                  <v>234</v>
                </pt>
                <pt idx="7">
                  <v>250.5</v>
                </pt>
                <pt idx="8">
                  <v>267</v>
                </pt>
                <pt idx="9">
                  <v>283.5</v>
                </pt>
                <pt idx="10">
                  <v>300</v>
                </pt>
              </numCache>
            </numRef>
          </cat>
          <val>
            <numRef>
              <f>时间轴预览!$B$35:$B$45</f>
              <numCache>
                <formatCode>#,##0</formatCode>
                <ptCount val="11"/>
                <pt idx="0">
                  <v>350</v>
                </pt>
                <pt idx="1">
                  <v>363</v>
                </pt>
                <pt idx="2">
                  <v>406</v>
                </pt>
                <pt idx="3">
                  <v>482</v>
                </pt>
                <pt idx="4">
                  <v>591</v>
                </pt>
                <pt idx="5">
                  <v>735</v>
                </pt>
                <pt idx="6">
                  <v>914</v>
                </pt>
                <pt idx="7">
                  <v>1130</v>
                </pt>
                <pt idx="8">
                  <v>1383</v>
                </pt>
                <pt idx="9">
                  <v>1672</v>
                </pt>
                <pt idx="10">
                  <v>2000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/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/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第三段 </a:t>
            </a:r>
            <a:r>
              <a:rPr lang="en-US" altLang="zh-CN" sz="900"/>
              <a:t>· 300–480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时间轴预览!$A$50:$A$60</f>
              <numCache>
                <formatCode>0</formatCode>
                <ptCount val="11"/>
                <pt idx="0">
                  <v>300</v>
                </pt>
                <pt idx="1">
                  <v>318</v>
                </pt>
                <pt idx="2">
                  <v>336</v>
                </pt>
                <pt idx="3">
                  <v>354</v>
                </pt>
                <pt idx="4">
                  <v>372</v>
                </pt>
                <pt idx="5">
                  <v>390</v>
                </pt>
                <pt idx="6">
                  <v>408</v>
                </pt>
                <pt idx="7">
                  <v>426</v>
                </pt>
                <pt idx="8">
                  <v>444</v>
                </pt>
                <pt idx="9">
                  <v>462</v>
                </pt>
                <pt idx="10">
                  <v>480</v>
                </pt>
              </numCache>
            </numRef>
          </cat>
          <val>
            <numRef>
              <f>时间轴预览!$B$50:$B$60</f>
              <numCache>
                <formatCode>#,##0</formatCode>
                <ptCount val="11"/>
                <pt idx="0">
                  <v>2000</v>
                </pt>
                <pt idx="1">
                  <v>2064</v>
                </pt>
                <pt idx="2">
                  <v>2272</v>
                </pt>
                <pt idx="3">
                  <v>2638</v>
                </pt>
                <pt idx="4">
                  <v>3168</v>
                </pt>
                <pt idx="5">
                  <v>3866</v>
                </pt>
                <pt idx="6">
                  <v>4737</v>
                </pt>
                <pt idx="7">
                  <v>5783</v>
                </pt>
                <pt idx="8">
                  <v>7007</v>
                </pt>
                <pt idx="9">
                  <v>8412</v>
                </pt>
                <pt idx="10">
                  <v>10000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/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/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3</col>
      <colOff>0</colOff>
      <row>18</row>
      <rowOff>0</rowOff>
    </from>
    <to>
      <col>10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0</colOff>
      <row>33</row>
      <rowOff>0</rowOff>
    </from>
    <to>
      <col>10</col>
      <colOff>0</colOff>
      <row>46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0</colOff>
      <row>48</row>
      <rowOff>0</rowOff>
    </from>
    <to>
      <col>10</col>
      <colOff>0</colOff>
      <row>61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melineConfigTable" displayName="TimelineConfigTable" ref="A1:E22" headerRowCount="1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E14" headerRowCount="1" totalsRowShown="0">
  <tableColumns count="5">
    <tableColumn id="1" name="路程进度"/>
    <tableColumn id="2" name="事件ID"/>
    <tableColumn id="3" name="类型"/>
    <tableColumn id="4" name="说明"/>
    <tableColumn id="5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topLeftCell="A16" workbookViewId="0">
      <selection activeCell="B20" sqref="B20"/>
    </sheetView>
  </sheetViews>
  <sheetFormatPr baseColWidth="8" defaultColWidth="9" defaultRowHeight="13.8"/>
  <cols>
    <col width="19" customWidth="1" style="70" min="1" max="1"/>
    <col width="15" customWidth="1" style="70" min="2" max="2"/>
    <col width="3" customWidth="1" style="70" min="3" max="3"/>
    <col width="25" customWidth="1" style="70" min="4" max="4"/>
    <col width="15" customWidth="1" style="70" min="5" max="5"/>
    <col width="10" customWidth="1" style="70" min="6" max="10"/>
    <col width="3" customWidth="1" style="70" min="11" max="11"/>
    <col width="13" customWidth="1" style="70" min="12" max="12"/>
    <col width="16" customWidth="1" style="70" min="13" max="13"/>
    <col width="14" customWidth="1" style="70" min="14" max="14"/>
    <col width="34" customWidth="1" style="70" min="15" max="15"/>
    <col width="12" customWidth="1" style="70" min="16" max="16"/>
    <col width="3" customWidth="1" style="70" min="17" max="17"/>
  </cols>
  <sheetData>
    <row r="1" ht="34.05" customHeight="1" s="70">
      <c r="A1" s="75" t="inlineStr">
        <is>
          <t>小厨西 · 时间轴策划预览</t>
        </is>
      </c>
    </row>
    <row r="2" ht="30" customHeight="1" s="70">
      <c r="A2" s="74" t="inlineStr">
        <is>
          <t>胃口按有效游戏时间分三段；事件按路程进度触发，不换算成时间。目标时长只用于Boss胃口与整体节奏校准。</t>
        </is>
      </c>
    </row>
    <row r="3" ht="24" customHeight="1" s="70">
      <c r="A3" s="30" t="n"/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</row>
    <row r="4" ht="17.4" customHeight="1" s="70">
      <c r="A4" s="71" t="inlineStr">
        <is>
          <t>运行参数概览</t>
        </is>
      </c>
      <c r="B4" s="72" t="n"/>
      <c r="C4" s="72" t="n"/>
      <c r="D4" s="72" t="n"/>
      <c r="E4" s="73" t="n"/>
      <c r="F4" s="30" t="n"/>
      <c r="G4" s="30" t="n"/>
      <c r="H4" s="30" t="n"/>
      <c r="I4" s="30" t="n"/>
      <c r="J4" s="30" t="n"/>
      <c r="K4" s="30" t="n"/>
      <c r="L4" s="71" t="inlineStr">
        <is>
          <t>显式事件 · 路程进度</t>
        </is>
      </c>
      <c r="M4" s="72" t="n"/>
      <c r="N4" s="72" t="n"/>
      <c r="O4" s="72" t="n"/>
      <c r="P4" s="72" t="n"/>
      <c r="Q4" s="73" t="n"/>
    </row>
    <row r="5" ht="30" customHeight="1" s="70">
      <c r="A5" s="31" t="inlineStr">
        <is>
          <t>胃口参数</t>
        </is>
      </c>
      <c r="B5" s="32" t="inlineStr">
        <is>
          <t>当前值</t>
        </is>
      </c>
      <c r="C5" s="32" t="n"/>
      <c r="D5" s="32" t="inlineStr">
        <is>
          <t>流程参数</t>
        </is>
      </c>
      <c r="E5" s="33" t="inlineStr">
        <is>
          <t>当前值</t>
        </is>
      </c>
      <c r="F5" s="30" t="n"/>
      <c r="G5" s="30" t="n"/>
      <c r="H5" s="30" t="n"/>
      <c r="I5" s="30" t="n"/>
      <c r="J5" s="30" t="n"/>
      <c r="K5" s="30" t="n"/>
      <c r="L5" s="41" t="inlineStr">
        <is>
          <t>路程进度</t>
        </is>
      </c>
      <c r="M5" s="42" t="inlineStr">
        <is>
          <t>事件ID</t>
        </is>
      </c>
      <c r="N5" s="42" t="inlineStr">
        <is>
          <t>类型</t>
        </is>
      </c>
      <c r="O5" s="42" t="inlineStr">
        <is>
          <t>说明</t>
        </is>
      </c>
      <c r="P5" s="43" t="inlineStr">
        <is>
          <t>前进倍率</t>
        </is>
      </c>
      <c r="Q5" s="30" t="n"/>
    </row>
    <row r="6" ht="30" customHeight="1" s="70">
      <c r="A6" s="34" t="inlineStr">
        <is>
          <t>起始胃口</t>
        </is>
      </c>
      <c r="B6" s="77">
        <f>配置!B4</f>
        <v/>
      </c>
      <c r="C6" s="35" t="n"/>
      <c r="D6" s="36" t="inlineStr">
        <is>
          <t>正式总路程(m)</t>
        </is>
      </c>
      <c r="E6" s="78">
        <f>配置!B14</f>
        <v/>
      </c>
      <c r="F6" s="30" t="n"/>
      <c r="G6" s="30" t="n"/>
      <c r="H6" s="30" t="n"/>
      <c r="I6" s="30" t="n"/>
      <c r="J6" s="30" t="n"/>
      <c r="K6" s="30" t="n"/>
      <c r="L6" s="79">
        <f>事件!A2</f>
        <v/>
      </c>
      <c r="M6" s="53">
        <f>IF(事件!B2="","",事件!B2)</f>
        <v/>
      </c>
      <c r="N6" s="36">
        <f>事件!C2</f>
        <v/>
      </c>
      <c r="O6" s="45">
        <f>事件!D2</f>
        <v/>
      </c>
      <c r="P6" s="80">
        <f>IF(事件!E2="","",事件!E2)</f>
        <v/>
      </c>
      <c r="Q6" s="30" t="n"/>
    </row>
    <row r="7" ht="15" customHeight="1" s="70">
      <c r="A7" s="34" t="inlineStr">
        <is>
          <t>第一段结束(s)</t>
        </is>
      </c>
      <c r="B7" s="77">
        <f>配置!B5</f>
        <v/>
      </c>
      <c r="C7" s="35" t="n"/>
      <c r="D7" s="36" t="inlineStr">
        <is>
          <t>普通强化门数</t>
        </is>
      </c>
      <c r="E7" s="78">
        <f>配置!B17</f>
        <v/>
      </c>
      <c r="F7" s="30" t="n"/>
      <c r="G7" s="30" t="n"/>
      <c r="H7" s="30" t="n"/>
      <c r="I7" s="30" t="n"/>
      <c r="J7" s="30" t="n"/>
      <c r="K7" s="30" t="n"/>
      <c r="L7" s="79">
        <f>事件!A3</f>
        <v/>
      </c>
      <c r="M7" s="53">
        <f>IF(事件!B3="","",事件!B3)</f>
        <v/>
      </c>
      <c r="N7" s="36">
        <f>事件!C3</f>
        <v/>
      </c>
      <c r="O7" s="45">
        <f>事件!D3</f>
        <v/>
      </c>
      <c r="P7" s="80">
        <f>IF(事件!E3="","",事件!E3)</f>
        <v/>
      </c>
      <c r="Q7" s="30" t="n"/>
    </row>
    <row r="8" ht="15" customHeight="1" s="70">
      <c r="A8" s="34" t="inlineStr">
        <is>
          <t>第一段最大胃口</t>
        </is>
      </c>
      <c r="B8" s="77">
        <f>配置!B6</f>
        <v/>
      </c>
      <c r="C8" s="35" t="n"/>
      <c r="D8" s="36" t="inlineStr">
        <is>
          <t>普通波次数</t>
        </is>
      </c>
      <c r="E8" s="78">
        <f>配置!B18</f>
        <v/>
      </c>
      <c r="F8" s="30" t="n"/>
      <c r="G8" s="30" t="n"/>
      <c r="H8" s="30" t="n"/>
      <c r="I8" s="30" t="n"/>
      <c r="J8" s="30" t="n"/>
      <c r="K8" s="30" t="n"/>
      <c r="L8" s="79">
        <f>事件!A4</f>
        <v/>
      </c>
      <c r="M8" s="53">
        <f>IF(事件!B4="","",事件!B4)</f>
        <v/>
      </c>
      <c r="N8" s="36">
        <f>事件!C4</f>
        <v/>
      </c>
      <c r="O8" s="45">
        <f>事件!D4</f>
        <v/>
      </c>
      <c r="P8" s="80">
        <f>IF(事件!E4="","",事件!E4)</f>
        <v/>
      </c>
      <c r="Q8" s="30" t="n"/>
    </row>
    <row r="9" ht="15" customHeight="1" s="70">
      <c r="A9" s="34" t="inlineStr">
        <is>
          <t>第一段指数</t>
        </is>
      </c>
      <c r="B9" s="77">
        <f>配置!B7</f>
        <v/>
      </c>
      <c r="C9" s="35" t="n"/>
      <c r="D9" s="36" t="inlineStr">
        <is>
          <t>目标有效时长(s) · 参考</t>
        </is>
      </c>
      <c r="E9" s="78">
        <f>配置!B15</f>
        <v/>
      </c>
      <c r="F9" s="30" t="n"/>
      <c r="G9" s="30" t="n"/>
      <c r="H9" s="30" t="n"/>
      <c r="I9" s="30" t="n"/>
      <c r="J9" s="30" t="n"/>
      <c r="K9" s="30" t="n"/>
      <c r="L9" s="79">
        <f>事件!A5</f>
        <v/>
      </c>
      <c r="M9" s="53">
        <f>IF(事件!B5="","",事件!B5)</f>
        <v/>
      </c>
      <c r="N9" s="36">
        <f>事件!C5</f>
        <v/>
      </c>
      <c r="O9" s="45">
        <f>事件!D5</f>
        <v/>
      </c>
      <c r="P9" s="80">
        <f>IF(事件!E5="","",事件!E5)</f>
        <v/>
      </c>
      <c r="Q9" s="30" t="n"/>
    </row>
    <row r="10" ht="15" customHeight="1" s="70">
      <c r="A10" s="34" t="inlineStr">
        <is>
          <t>第二段结束(s)</t>
        </is>
      </c>
      <c r="B10" s="77">
        <f>配置!B8</f>
        <v/>
      </c>
      <c r="C10" s="35" t="n"/>
      <c r="D10" s="36" t="inlineStr">
        <is>
          <t>单场Boss目标(s) · 参考</t>
        </is>
      </c>
      <c r="E10" s="78">
        <f>配置!B16</f>
        <v/>
      </c>
      <c r="F10" s="30" t="n"/>
      <c r="G10" s="30" t="n"/>
      <c r="H10" s="30" t="n"/>
      <c r="I10" s="30" t="n"/>
      <c r="J10" s="30" t="n"/>
      <c r="K10" s="30" t="n"/>
      <c r="L10" s="79">
        <f>事件!A6</f>
        <v/>
      </c>
      <c r="M10" s="53">
        <f>IF(事件!B6="","",事件!B6)</f>
        <v/>
      </c>
      <c r="N10" s="36">
        <f>事件!C6</f>
        <v/>
      </c>
      <c r="O10" s="45">
        <f>事件!D6</f>
        <v/>
      </c>
      <c r="P10" s="80">
        <f>IF(事件!E6="","",事件!E6)</f>
        <v/>
      </c>
      <c r="Q10" s="30" t="n"/>
    </row>
    <row r="11" ht="15" customHeight="1" s="70">
      <c r="A11" s="34" t="inlineStr">
        <is>
          <t>第二段最大胃口</t>
        </is>
      </c>
      <c r="B11" s="77">
        <f>配置!B9</f>
        <v/>
      </c>
      <c r="C11" s="35" t="n"/>
      <c r="D11" s="36" t="inlineStr">
        <is>
          <t>显式事件数</t>
        </is>
      </c>
      <c r="E11" s="78">
        <f>COUNTA(事件!B2:B14)</f>
        <v/>
      </c>
      <c r="F11" s="30" t="n"/>
      <c r="G11" s="30" t="n"/>
      <c r="H11" s="30" t="n"/>
      <c r="I11" s="30" t="n"/>
      <c r="J11" s="30" t="n"/>
      <c r="K11" s="30" t="n"/>
      <c r="L11" s="79">
        <f>事件!A7</f>
        <v/>
      </c>
      <c r="M11" s="53">
        <f>IF(事件!B7="","",事件!B7)</f>
        <v/>
      </c>
      <c r="N11" s="36">
        <f>事件!C7</f>
        <v/>
      </c>
      <c r="O11" s="45">
        <f>事件!D7</f>
        <v/>
      </c>
      <c r="P11" s="80">
        <f>IF(事件!E7="","",事件!E7)</f>
        <v/>
      </c>
      <c r="Q11" s="30" t="n"/>
    </row>
    <row r="12" ht="15" customHeight="1" s="70">
      <c r="A12" s="34" t="inlineStr">
        <is>
          <t>第二段指数</t>
        </is>
      </c>
      <c r="B12" s="77">
        <f>配置!B10</f>
        <v/>
      </c>
      <c r="C12" s="35" t="n"/>
      <c r="D12" s="36" t="inlineStr">
        <is>
          <t>精英事件</t>
        </is>
      </c>
      <c r="E12" s="78">
        <f>COUNTIF(事件!C2:C14,"精英")</f>
        <v/>
      </c>
      <c r="F12" s="30" t="n"/>
      <c r="G12" s="30" t="n"/>
      <c r="H12" s="30" t="n"/>
      <c r="I12" s="30" t="n"/>
      <c r="J12" s="30" t="n"/>
      <c r="K12" s="30" t="n"/>
      <c r="L12" s="79">
        <f>事件!A8</f>
        <v/>
      </c>
      <c r="M12" s="53">
        <f>IF(事件!B8="","",事件!B8)</f>
        <v/>
      </c>
      <c r="N12" s="36">
        <f>事件!C8</f>
        <v/>
      </c>
      <c r="O12" s="45">
        <f>事件!D8</f>
        <v/>
      </c>
      <c r="P12" s="80">
        <f>IF(事件!E8="","",事件!E8)</f>
        <v/>
      </c>
      <c r="Q12" s="30" t="n"/>
    </row>
    <row r="13" ht="15" customHeight="1" s="70">
      <c r="A13" s="34" t="inlineStr">
        <is>
          <t>第三段结束(s)</t>
        </is>
      </c>
      <c r="B13" s="77">
        <f>配置!B11</f>
        <v/>
      </c>
      <c r="C13" s="35" t="n"/>
      <c r="D13" s="36" t="inlineStr">
        <is>
          <t>Boss事件</t>
        </is>
      </c>
      <c r="E13" s="78">
        <f>COUNTIF(事件!C2:C14,"Boss")+COUNTIF(事件!C2:C14,"Boss/压力")</f>
        <v/>
      </c>
      <c r="F13" s="30" t="n"/>
      <c r="G13" s="30" t="n"/>
      <c r="H13" s="30" t="n"/>
      <c r="I13" s="30" t="n"/>
      <c r="J13" s="30" t="n"/>
      <c r="K13" s="30" t="n"/>
      <c r="L13" s="79">
        <f>事件!A9</f>
        <v/>
      </c>
      <c r="M13" s="53">
        <f>IF(事件!B9="","",事件!B9)</f>
        <v/>
      </c>
      <c r="N13" s="36">
        <f>事件!C9</f>
        <v/>
      </c>
      <c r="O13" s="45">
        <f>事件!D9</f>
        <v/>
      </c>
      <c r="P13" s="80">
        <f>IF(事件!E9="","",事件!E9)</f>
        <v/>
      </c>
      <c r="Q13" s="30" t="n"/>
    </row>
    <row r="14" ht="15" customHeight="1" s="70">
      <c r="A14" s="34" t="inlineStr">
        <is>
          <t>第三段最大胃口</t>
        </is>
      </c>
      <c r="B14" s="77">
        <f>配置!B12</f>
        <v/>
      </c>
      <c r="C14" s="35" t="n"/>
      <c r="D14" s="35" t="n"/>
      <c r="E14" s="37" t="n"/>
      <c r="F14" s="30" t="n"/>
      <c r="G14" s="30" t="n"/>
      <c r="H14" s="30" t="n"/>
      <c r="I14" s="30" t="n"/>
      <c r="J14" s="30" t="n"/>
      <c r="K14" s="30" t="n"/>
      <c r="L14" s="79">
        <f>事件!A10</f>
        <v/>
      </c>
      <c r="M14" s="53">
        <f>IF(事件!B10="","",事件!B10)</f>
        <v/>
      </c>
      <c r="N14" s="36">
        <f>事件!C10</f>
        <v/>
      </c>
      <c r="O14" s="45">
        <f>事件!D10</f>
        <v/>
      </c>
      <c r="P14" s="80">
        <f>IF(事件!E10="","",事件!E10)</f>
        <v/>
      </c>
      <c r="Q14" s="30" t="n"/>
    </row>
    <row r="15" ht="15" customHeight="1" s="70">
      <c r="A15" s="38" t="inlineStr">
        <is>
          <t>第三段指数</t>
        </is>
      </c>
      <c r="B15" s="81">
        <f>配置!B13</f>
        <v/>
      </c>
      <c r="C15" s="39" t="n"/>
      <c r="D15" s="39" t="n"/>
      <c r="E15" s="40" t="n"/>
      <c r="F15" s="30" t="n"/>
      <c r="G15" s="30" t="n"/>
      <c r="H15" s="30" t="n"/>
      <c r="I15" s="30" t="n"/>
      <c r="J15" s="30" t="n"/>
      <c r="K15" s="30" t="n"/>
      <c r="L15" s="79">
        <f>事件!A11</f>
        <v/>
      </c>
      <c r="M15" s="53">
        <f>IF(事件!B11="","",事件!B11)</f>
        <v/>
      </c>
      <c r="N15" s="36">
        <f>事件!C11</f>
        <v/>
      </c>
      <c r="O15" s="45">
        <f>事件!D11</f>
        <v/>
      </c>
      <c r="P15" s="80">
        <f>IF(事件!E11="","",事件!E11)</f>
        <v/>
      </c>
      <c r="Q15" s="30" t="n"/>
    </row>
    <row r="16" ht="15" customHeight="1" s="70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79">
        <f>事件!A12</f>
        <v/>
      </c>
      <c r="M16" s="53">
        <f>IF(事件!B12="","",事件!B12)</f>
        <v/>
      </c>
      <c r="N16" s="36">
        <f>事件!C12</f>
        <v/>
      </c>
      <c r="O16" s="45">
        <f>事件!D12</f>
        <v/>
      </c>
      <c r="P16" s="80">
        <f>IF(事件!E12="","",事件!E12)</f>
        <v/>
      </c>
      <c r="Q16" s="30" t="n"/>
    </row>
    <row r="17" ht="15" customHeight="1" s="70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79">
        <f>事件!A13</f>
        <v/>
      </c>
      <c r="M17" s="53">
        <f>IF(事件!B13="","",事件!B13)</f>
        <v/>
      </c>
      <c r="N17" s="36">
        <f>事件!C13</f>
        <v/>
      </c>
      <c r="O17" s="45">
        <f>事件!D13</f>
        <v/>
      </c>
      <c r="P17" s="80">
        <f>IF(事件!E13="","",事件!E13)</f>
        <v/>
      </c>
      <c r="Q17" s="30" t="n"/>
    </row>
    <row r="18" ht="15" customHeight="1" s="70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82">
        <f>事件!A14</f>
        <v/>
      </c>
      <c r="M18" s="54">
        <f>IF(事件!B14="","",事件!B14)</f>
        <v/>
      </c>
      <c r="N18" s="44">
        <f>事件!C14</f>
        <v/>
      </c>
      <c r="O18" s="46">
        <f>事件!D14</f>
        <v/>
      </c>
      <c r="P18" s="83">
        <f>IF(事件!E14="","",事件!E14)</f>
        <v/>
      </c>
      <c r="Q18" s="30" t="n"/>
    </row>
    <row r="19" ht="15.6" customHeight="1" s="70">
      <c r="A19" s="47" t="inlineStr">
        <is>
          <t>有效时间(s)</t>
        </is>
      </c>
      <c r="B19" s="48" t="inlineStr">
        <is>
          <t>基准胃口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</row>
    <row r="20" ht="28.05" customHeight="1" s="70">
      <c r="A20" s="49">
        <f>0+(配置!$B$5-0)*0/10</f>
        <v/>
      </c>
      <c r="B20" s="51">
        <f>ROUND(配置!$B$4+(配置!$B$6-配置!$B$4)*POWER((A20-0)/(配置!$B$5-0),配置!$B$7),0)</f>
        <v/>
      </c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76" t="inlineStr">
        <is>
          <t>调参边界</t>
        </is>
      </c>
    </row>
    <row r="21" ht="30" customHeight="1" s="70">
      <c r="A21" s="49">
        <f>0+(配置!$B$5-0)*1/10</f>
        <v/>
      </c>
      <c r="B21" s="51">
        <f>ROUND(配置!$B$4+(配置!$B$6-配置!$B$4)*POWER((A21-0)/(配置!$B$5-0),配置!$B$7),0)</f>
        <v/>
      </c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69" t="inlineStr">
        <is>
          <t>1. 三段结束时间必须严格递增；每段最大胃口不得低于上一段。</t>
        </is>
      </c>
    </row>
    <row r="22" ht="30" customHeight="1" s="70">
      <c r="A22" s="49">
        <f>0+(配置!$B$5-0)*2/10</f>
        <v/>
      </c>
      <c r="B22" s="51">
        <f>ROUND(配置!$B$4+(配置!$B$6-配置!$B$4)*POWER((A22-0)/(配置!$B$5-0),配置!$B$7),0)</f>
        <v/>
      </c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69" t="inlineStr">
        <is>
          <t>2. 指数只改变各自段内形状：大于1前缓后陡，小于1前陡后缓。</t>
        </is>
      </c>
    </row>
    <row r="23" ht="30" customHeight="1" s="70">
      <c r="A23" s="49">
        <f>0+(配置!$B$5-0)*3/10</f>
        <v/>
      </c>
      <c r="B23" s="51">
        <f>ROUND(配置!$B$4+(配置!$B$6-配置!$B$4)*POWER((A23-0)/(配置!$B$5-0),配置!$B$7),0)</f>
        <v/>
      </c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69" t="inlineStr">
        <is>
          <t>3. 目标有效时长和Boss目标时长是策划参考，不改变路程或自动结束Boss。</t>
        </is>
      </c>
    </row>
    <row r="24" ht="30" customHeight="1" s="70">
      <c r="A24" s="49">
        <f>0+(配置!$B$5-0)*4/10</f>
        <v/>
      </c>
      <c r="B24" s="51">
        <f>ROUND(配置!$B$4+(配置!$B$6-配置!$B$4)*POWER((A24-0)/(配置!$B$5-0),配置!$B$7),0)</f>
        <v/>
      </c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69" t="inlineStr">
        <is>
          <t>4. 事件页第一列是路程进度0～1，不能按秒填写。</t>
        </is>
      </c>
    </row>
    <row r="25" ht="30" customHeight="1" s="70">
      <c r="A25" s="49">
        <f>0+(配置!$B$5-0)*5/10</f>
        <v/>
      </c>
      <c r="B25" s="51">
        <f>ROUND(配置!$B$4+(配置!$B$6-配置!$B$4)*POWER((A25-0)/(配置!$B$5-0),配置!$B$7),0)</f>
        <v/>
      </c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69" t="inlineStr">
        <is>
          <t>5. 保存关闭后重新开始本局，看到BALANCE_TIMELINE_LOADED才表示读取成功。</t>
        </is>
      </c>
    </row>
    <row r="26" ht="34.05" customHeight="1" s="70">
      <c r="A26" s="49">
        <f>0+(配置!$B$5-0)*6/10</f>
        <v/>
      </c>
      <c r="B26" s="51">
        <f>ROUND(配置!$B$4+(配置!$B$6-配置!$B$4)*POWER((A26-0)/(配置!$B$5-0),配置!$B$7),0)</f>
        <v/>
      </c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</row>
    <row r="27" ht="34.05" customHeight="1" s="70">
      <c r="A27" s="49">
        <f>0+(配置!$B$5-0)*7/10</f>
        <v/>
      </c>
      <c r="B27" s="51">
        <f>ROUND(配置!$B$4+(配置!$B$6-配置!$B$4)*POWER((A27-0)/(配置!$B$5-0),配置!$B$7),0)</f>
        <v/>
      </c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</row>
    <row r="28" ht="15" customHeight="1" s="70">
      <c r="A28" s="49">
        <f>0+(配置!$B$5-0)*8/10</f>
        <v/>
      </c>
      <c r="B28" s="51">
        <f>ROUND(配置!$B$4+(配置!$B$6-配置!$B$4)*POWER((A28-0)/(配置!$B$5-0),配置!$B$7),0)</f>
        <v/>
      </c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</row>
    <row r="29" ht="15" customHeight="1" s="70">
      <c r="A29" s="49">
        <f>0+(配置!$B$5-0)*9/10</f>
        <v/>
      </c>
      <c r="B29" s="51">
        <f>ROUND(配置!$B$4+(配置!$B$6-配置!$B$4)*POWER((A29-0)/(配置!$B$5-0),配置!$B$7),0)</f>
        <v/>
      </c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</row>
    <row r="30" ht="15" customHeight="1" s="70">
      <c r="A30" s="50">
        <f>0+(配置!$B$5-0)*10/10</f>
        <v/>
      </c>
      <c r="B30" s="52">
        <f>ROUND(配置!$B$4+(配置!$B$6-配置!$B$4)*POWER((A30-0)/(配置!$B$5-0),配置!$B$7),0)</f>
        <v/>
      </c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</row>
    <row r="31" ht="15" customHeight="1" s="70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</row>
    <row r="32" ht="15" customHeight="1" s="70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</row>
    <row r="33" ht="15" customHeight="1" s="70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</row>
    <row r="34" ht="15" customHeight="1" s="70">
      <c r="A34" s="47" t="inlineStr">
        <is>
          <t>有效时间(s)</t>
        </is>
      </c>
      <c r="B34" s="48" t="inlineStr">
        <is>
          <t>基准胃口</t>
        </is>
      </c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</row>
    <row r="35" ht="15" customHeight="1" s="70">
      <c r="A35" s="49">
        <f>配置!$B$5+(配置!$B$8-配置!$B$5)*0/10</f>
        <v/>
      </c>
      <c r="B35" s="51">
        <f>ROUND(配置!$B$6+(配置!$B$9-配置!$B$6)*POWER((A35-配置!$B$5)/(配置!$B$8-配置!$B$5),配置!$B$10),0)</f>
        <v/>
      </c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</row>
    <row r="36" ht="15" customHeight="1" s="70">
      <c r="A36" s="49">
        <f>配置!$B$5+(配置!$B$8-配置!$B$5)*1/10</f>
        <v/>
      </c>
      <c r="B36" s="51">
        <f>ROUND(配置!$B$6+(配置!$B$9-配置!$B$6)*POWER((A36-配置!$B$5)/(配置!$B$8-配置!$B$5),配置!$B$10),0)</f>
        <v/>
      </c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</row>
    <row r="37" ht="15" customHeight="1" s="70">
      <c r="A37" s="49">
        <f>配置!$B$5+(配置!$B$8-配置!$B$5)*2/10</f>
        <v/>
      </c>
      <c r="B37" s="51">
        <f>ROUND(配置!$B$6+(配置!$B$9-配置!$B$6)*POWER((A37-配置!$B$5)/(配置!$B$8-配置!$B$5),配置!$B$10),0)</f>
        <v/>
      </c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</row>
    <row r="38" ht="28.05" customHeight="1" s="70">
      <c r="A38" s="49">
        <f>配置!$B$5+(配置!$B$8-配置!$B$5)*3/10</f>
        <v/>
      </c>
      <c r="B38" s="51">
        <f>ROUND(配置!$B$6+(配置!$B$9-配置!$B$6)*POWER((A38-配置!$B$5)/(配置!$B$8-配置!$B$5),配置!$B$10),0)</f>
        <v/>
      </c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</row>
    <row r="39" ht="31.95" customHeight="1" s="70">
      <c r="A39" s="49">
        <f>配置!$B$5+(配置!$B$8-配置!$B$5)*4/10</f>
        <v/>
      </c>
      <c r="B39" s="51">
        <f>ROUND(配置!$B$6+(配置!$B$9-配置!$B$6)*POWER((A39-配置!$B$5)/(配置!$B$8-配置!$B$5),配置!$B$10),0)</f>
        <v/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</row>
    <row r="40" ht="31.95" customHeight="1" s="70">
      <c r="A40" s="49">
        <f>配置!$B$5+(配置!$B$8-配置!$B$5)*5/10</f>
        <v/>
      </c>
      <c r="B40" s="51">
        <f>ROUND(配置!$B$6+(配置!$B$9-配置!$B$6)*POWER((A40-配置!$B$5)/(配置!$B$8-配置!$B$5),配置!$B$10),0)</f>
        <v/>
      </c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</row>
    <row r="41" ht="31.95" customHeight="1" s="70">
      <c r="A41" s="49">
        <f>配置!$B$5+(配置!$B$8-配置!$B$5)*6/10</f>
        <v/>
      </c>
      <c r="B41" s="51">
        <f>ROUND(配置!$B$6+(配置!$B$9-配置!$B$6)*POWER((A41-配置!$B$5)/(配置!$B$8-配置!$B$5),配置!$B$10),0)</f>
        <v/>
      </c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</row>
    <row r="42" ht="31.95" customHeight="1" s="70">
      <c r="A42" s="49">
        <f>配置!$B$5+(配置!$B$8-配置!$B$5)*7/10</f>
        <v/>
      </c>
      <c r="B42" s="51">
        <f>ROUND(配置!$B$6+(配置!$B$9-配置!$B$6)*POWER((A42-配置!$B$5)/(配置!$B$8-配置!$B$5),配置!$B$10),0)</f>
        <v/>
      </c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</row>
    <row r="43" ht="15" customHeight="1" s="70">
      <c r="A43" s="49">
        <f>配置!$B$5+(配置!$B$8-配置!$B$5)*8/10</f>
        <v/>
      </c>
      <c r="B43" s="51">
        <f>ROUND(配置!$B$6+(配置!$B$9-配置!$B$6)*POWER((A43-配置!$B$5)/(配置!$B$8-配置!$B$5),配置!$B$10),0)</f>
        <v/>
      </c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  <c r="P43" s="30" t="n"/>
      <c r="Q43" s="30" t="n"/>
    </row>
    <row r="44" ht="15" customHeight="1" s="70">
      <c r="A44" s="49">
        <f>配置!$B$5+(配置!$B$8-配置!$B$5)*9/10</f>
        <v/>
      </c>
      <c r="B44" s="51">
        <f>ROUND(配置!$B$6+(配置!$B$9-配置!$B$6)*POWER((A44-配置!$B$5)/(配置!$B$8-配置!$B$5),配置!$B$10),0)</f>
        <v/>
      </c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  <c r="P44" s="30" t="n"/>
      <c r="Q44" s="30" t="n"/>
    </row>
    <row r="45" ht="15" customHeight="1" s="70">
      <c r="A45" s="50">
        <f>配置!$B$5+(配置!$B$8-配置!$B$5)*10/10</f>
        <v/>
      </c>
      <c r="B45" s="52">
        <f>ROUND(配置!$B$6+(配置!$B$9-配置!$B$6)*POWER((A45-配置!$B$5)/(配置!$B$8-配置!$B$5),配置!$B$10),0)</f>
        <v/>
      </c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  <c r="P45" s="30" t="n"/>
      <c r="Q45" s="30" t="n"/>
    </row>
    <row r="46" ht="15" customHeight="1" s="70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  <c r="P46" s="30" t="n"/>
      <c r="Q46" s="30" t="n"/>
    </row>
    <row r="47" ht="15" customHeight="1" s="70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  <c r="P47" s="30" t="n"/>
      <c r="Q47" s="30" t="n"/>
    </row>
    <row r="48" ht="15" customHeight="1" s="70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  <c r="P48" s="30" t="n"/>
      <c r="Q48" s="30" t="n"/>
    </row>
    <row r="49" ht="15.6" customHeight="1" s="70">
      <c r="A49" s="47" t="inlineStr">
        <is>
          <t>有效时间(s)</t>
        </is>
      </c>
      <c r="B49" s="48" t="inlineStr">
        <is>
          <t>基准胃口</t>
        </is>
      </c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  <c r="P49" s="30" t="n"/>
      <c r="Q49" s="30" t="n"/>
    </row>
    <row r="50" ht="15" customHeight="1" s="70">
      <c r="A50" s="49">
        <f>配置!$B$8+(配置!$B$11-配置!$B$8)*0/10</f>
        <v/>
      </c>
      <c r="B50" s="51">
        <f>ROUND(配置!$B$9+(配置!$B$12-配置!$B$9)*POWER((A50-配置!$B$8)/(配置!$B$11-配置!$B$8),配置!$B$13),0)</f>
        <v/>
      </c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  <c r="P50" s="30" t="n"/>
      <c r="Q50" s="30" t="n"/>
    </row>
    <row r="51" ht="15" customHeight="1" s="70">
      <c r="A51" s="49">
        <f>配置!$B$8+(配置!$B$11-配置!$B$8)*1/10</f>
        <v/>
      </c>
      <c r="B51" s="51">
        <f>ROUND(配置!$B$9+(配置!$B$12-配置!$B$9)*POWER((A51-配置!$B$8)/(配置!$B$11-配置!$B$8),配置!$B$13),0)</f>
        <v/>
      </c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  <c r="P51" s="30" t="n"/>
      <c r="Q51" s="30" t="n"/>
    </row>
    <row r="52" ht="15" customHeight="1" s="70">
      <c r="A52" s="49">
        <f>配置!$B$8+(配置!$B$11-配置!$B$8)*2/10</f>
        <v/>
      </c>
      <c r="B52" s="51">
        <f>ROUND(配置!$B$9+(配置!$B$12-配置!$B$9)*POWER((A52-配置!$B$8)/(配置!$B$11-配置!$B$8),配置!$B$13),0)</f>
        <v/>
      </c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  <c r="P52" s="30" t="n"/>
      <c r="Q52" s="30" t="n"/>
    </row>
    <row r="53" ht="15" customHeight="1" s="70">
      <c r="A53" s="49">
        <f>配置!$B$8+(配置!$B$11-配置!$B$8)*3/10</f>
        <v/>
      </c>
      <c r="B53" s="51">
        <f>ROUND(配置!$B$9+(配置!$B$12-配置!$B$9)*POWER((A53-配置!$B$8)/(配置!$B$11-配置!$B$8),配置!$B$13),0)</f>
        <v/>
      </c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  <c r="P53" s="30" t="n"/>
      <c r="Q53" s="30" t="n"/>
    </row>
    <row r="54" ht="15" customHeight="1" s="70">
      <c r="A54" s="49">
        <f>配置!$B$8+(配置!$B$11-配置!$B$8)*4/10</f>
        <v/>
      </c>
      <c r="B54" s="51">
        <f>ROUND(配置!$B$9+(配置!$B$12-配置!$B$9)*POWER((A54-配置!$B$8)/(配置!$B$11-配置!$B$8),配置!$B$13),0)</f>
        <v/>
      </c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  <c r="P54" s="30" t="n"/>
      <c r="Q54" s="30" t="n"/>
    </row>
    <row r="55" ht="15" customHeight="1" s="70">
      <c r="A55" s="49">
        <f>配置!$B$8+(配置!$B$11-配置!$B$8)*5/10</f>
        <v/>
      </c>
      <c r="B55" s="51">
        <f>ROUND(配置!$B$9+(配置!$B$12-配置!$B$9)*POWER((A55-配置!$B$8)/(配置!$B$11-配置!$B$8),配置!$B$13),0)</f>
        <v/>
      </c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  <c r="O55" s="30" t="n"/>
      <c r="P55" s="30" t="n"/>
      <c r="Q55" s="30" t="n"/>
    </row>
    <row r="56" ht="15" customHeight="1" s="70">
      <c r="A56" s="49">
        <f>配置!$B$8+(配置!$B$11-配置!$B$8)*6/10</f>
        <v/>
      </c>
      <c r="B56" s="51">
        <f>ROUND(配置!$B$9+(配置!$B$12-配置!$B$9)*POWER((A56-配置!$B$8)/(配置!$B$11-配置!$B$8),配置!$B$13),0)</f>
        <v/>
      </c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  <c r="O56" s="30" t="n"/>
      <c r="P56" s="30" t="n"/>
      <c r="Q56" s="30" t="n"/>
    </row>
    <row r="57" ht="15" customHeight="1" s="70">
      <c r="A57" s="49">
        <f>配置!$B$8+(配置!$B$11-配置!$B$8)*7/10</f>
        <v/>
      </c>
      <c r="B57" s="51">
        <f>ROUND(配置!$B$9+(配置!$B$12-配置!$B$9)*POWER((A57-配置!$B$8)/(配置!$B$11-配置!$B$8),配置!$B$13),0)</f>
        <v/>
      </c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  <c r="N57" s="30" t="n"/>
      <c r="O57" s="30" t="n"/>
      <c r="P57" s="30" t="n"/>
      <c r="Q57" s="30" t="n"/>
    </row>
    <row r="58" ht="15" customHeight="1" s="70">
      <c r="A58" s="49">
        <f>配置!$B$8+(配置!$B$11-配置!$B$8)*8/10</f>
        <v/>
      </c>
      <c r="B58" s="51">
        <f>ROUND(配置!$B$9+(配置!$B$12-配置!$B$9)*POWER((A58-配置!$B$8)/(配置!$B$11-配置!$B$8),配置!$B$13),0)</f>
        <v/>
      </c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  <c r="O58" s="30" t="n"/>
      <c r="P58" s="30" t="n"/>
      <c r="Q58" s="30" t="n"/>
    </row>
    <row r="59" ht="15" customHeight="1" s="70">
      <c r="A59" s="49">
        <f>配置!$B$8+(配置!$B$11-配置!$B$8)*9/10</f>
        <v/>
      </c>
      <c r="B59" s="51">
        <f>ROUND(配置!$B$9+(配置!$B$12-配置!$B$9)*POWER((A59-配置!$B$8)/(配置!$B$11-配置!$B$8),配置!$B$13),0)</f>
        <v/>
      </c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</row>
    <row r="60" ht="15" customHeight="1" s="70">
      <c r="A60" s="50">
        <f>配置!$B$8+(配置!$B$11-配置!$B$8)*10/10</f>
        <v/>
      </c>
      <c r="B60" s="52">
        <f>ROUND(配置!$B$9+(配置!$B$12-配置!$B$9)*POWER((A60-配置!$B$8)/(配置!$B$11-配置!$B$8),配置!$B$13),0)</f>
        <v/>
      </c>
      <c r="C60" s="30" t="n"/>
      <c r="D60" s="30" t="n"/>
      <c r="E60" s="30" t="n"/>
      <c r="F60" s="30" t="n"/>
      <c r="G60" s="30" t="n"/>
      <c r="H60" s="30" t="n"/>
      <c r="I60" s="30" t="n"/>
      <c r="J60" s="30" t="n"/>
      <c r="K60" s="30" t="n"/>
      <c r="L60" s="30" t="n"/>
      <c r="M60" s="30" t="n"/>
      <c r="N60" s="30" t="n"/>
      <c r="O60" s="30" t="n"/>
      <c r="P60" s="30" t="n"/>
      <c r="Q60" s="30" t="n"/>
    </row>
    <row r="61" ht="15" customHeight="1" s="70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  <c r="N61" s="30" t="n"/>
      <c r="O61" s="30" t="n"/>
      <c r="P61" s="30" t="n"/>
      <c r="Q61" s="30" t="n"/>
    </row>
    <row r="62" ht="15" customHeight="1" s="70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0" t="n"/>
      <c r="L62" s="30" t="n"/>
      <c r="M62" s="30" t="n"/>
      <c r="N62" s="30" t="n"/>
      <c r="O62" s="30" t="n"/>
      <c r="P62" s="30" t="n"/>
      <c r="Q62" s="30" t="n"/>
    </row>
    <row r="63" ht="15" customHeight="1" s="70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  <c r="N63" s="30" t="n"/>
      <c r="O63" s="30" t="n"/>
      <c r="P63" s="30" t="n"/>
      <c r="Q63" s="30" t="n"/>
    </row>
    <row r="64" ht="15" customHeight="1" s="70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0" t="n"/>
      <c r="L64" s="30" t="n"/>
      <c r="M64" s="30" t="n"/>
      <c r="N64" s="30" t="n"/>
      <c r="O64" s="30" t="n"/>
      <c r="P64" s="30" t="n"/>
      <c r="Q64" s="30" t="n"/>
    </row>
  </sheetData>
  <mergeCells count="10">
    <mergeCell ref="L21:Q21"/>
    <mergeCell ref="A4:E4"/>
    <mergeCell ref="L24:Q24"/>
    <mergeCell ref="L25:Q25"/>
    <mergeCell ref="A2:Q2"/>
    <mergeCell ref="L22:Q22"/>
    <mergeCell ref="L23:Q23"/>
    <mergeCell ref="L4:Q4"/>
    <mergeCell ref="A1:Q1"/>
    <mergeCell ref="L20:Q20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tabSelected="1" topLeftCell="A4" workbookViewId="0">
      <selection activeCell="B13" sqref="B13"/>
    </sheetView>
  </sheetViews>
  <sheetFormatPr baseColWidth="8" defaultColWidth="9" defaultRowHeight="13.8"/>
  <cols>
    <col width="33" customWidth="1" style="70" min="1" max="1"/>
    <col width="32" customWidth="1" style="70" min="2" max="2"/>
    <col width="34" customWidth="1" style="70" min="3" max="3"/>
    <col width="44" customWidth="1" style="70" min="4" max="4"/>
    <col width="38" customWidth="1" style="70" min="5" max="5"/>
  </cols>
  <sheetData>
    <row r="1" ht="30" customHeight="1" s="70">
      <c r="A1" s="18" t="inlineStr">
        <is>
          <t>参数ID</t>
        </is>
      </c>
      <c r="B1" s="19" t="inlineStr">
        <is>
          <t>数值</t>
        </is>
      </c>
      <c r="C1" s="19" t="inlineStr">
        <is>
          <t>说明</t>
        </is>
      </c>
      <c r="D1" s="19" t="inlineStr">
        <is>
          <t>对游戏的影响</t>
        </is>
      </c>
      <c r="E1" s="20" t="inlineStr">
        <is>
          <t>修改建议</t>
        </is>
      </c>
    </row>
    <row r="2" ht="31.95" customHeight="1" s="70">
      <c r="A2" s="21" t="inlineStr">
        <is>
          <t>schema_id</t>
        </is>
      </c>
      <c r="B2" s="22" t="inlineStr">
        <is>
          <t>xiaochuxi.encounter_timeline</t>
        </is>
      </c>
      <c r="C2" s="23" t="inlineStr">
        <is>
          <t>表结构标识，请勿修改</t>
        </is>
      </c>
      <c r="D2" s="23" t="inlineStr">
        <is>
          <t>用于确认这是小厨西时间轴表</t>
        </is>
      </c>
      <c r="E2" s="24" t="inlineStr">
        <is>
          <t>不要修改</t>
        </is>
      </c>
    </row>
    <row r="3" ht="31.95" customHeight="1" s="70">
      <c r="A3" s="21" t="inlineStr">
        <is>
          <t>schema_version</t>
        </is>
      </c>
      <c r="B3" s="29" t="n">
        <v>4</v>
      </c>
      <c r="C3" s="23" t="inlineStr">
        <is>
          <t>表结构版本，请勿修改</t>
        </is>
      </c>
      <c r="D3" s="23" t="inlineStr">
        <is>
          <t>用于识别表结构兼容性</t>
        </is>
      </c>
      <c r="E3" s="24" t="inlineStr">
        <is>
          <t>不要修改</t>
        </is>
      </c>
    </row>
    <row r="4" ht="31.95" customHeight="1" s="70">
      <c r="A4" s="21" t="inlineStr">
        <is>
          <t>baseline_appetite_start</t>
        </is>
      </c>
      <c r="B4" s="84" t="n">
        <v>15</v>
      </c>
      <c r="C4" s="23" t="inlineStr">
        <is>
          <t>有效游戏时间0秒的起始胃口</t>
        </is>
      </c>
      <c r="D4" s="23" t="inlineStr">
        <is>
          <t>决定开局食客、门和漏客伤害的基准</t>
        </is>
      </c>
      <c r="E4" s="24" t="inlineStr">
        <is>
          <t>只在开局整体过难或过易时调整</t>
        </is>
      </c>
    </row>
    <row r="5" ht="31.95" customHeight="1" s="70">
      <c r="A5" s="21" t="inlineStr">
        <is>
          <t>appetite_segment_1_end_time</t>
        </is>
      </c>
      <c r="B5" s="84" t="n">
        <v>135</v>
      </c>
      <c r="C5" s="23" t="inlineStr">
        <is>
          <t>第一段结束时间（秒）</t>
        </is>
      </c>
      <c r="D5" s="23" t="inlineStr">
        <is>
          <t>控制第一段何时到达第一段最大胃口</t>
        </is>
      </c>
      <c r="E5" s="24" t="inlineStr">
        <is>
          <t>必须早于第二、三段结束时间</t>
        </is>
      </c>
    </row>
    <row r="6" ht="31.95" customHeight="1" s="70">
      <c r="A6" s="21" t="inlineStr">
        <is>
          <t>appetite_segment_1_maximum</t>
        </is>
      </c>
      <c r="B6" s="84" t="n">
        <v>350</v>
      </c>
      <c r="C6" s="23" t="inlineStr">
        <is>
          <t>第一段最大胃口</t>
        </is>
      </c>
      <c r="D6" s="23" t="inlineStr">
        <is>
          <t>第一段结束时锁定的基准胃口</t>
        </is>
      </c>
      <c r="E6" s="24" t="inlineStr">
        <is>
          <t>前段压力过高或过低时调整</t>
        </is>
      </c>
    </row>
    <row r="7" ht="31.95" customHeight="1" s="70">
      <c r="A7" s="21" t="inlineStr">
        <is>
          <t>appetite_segment_1_exponent</t>
        </is>
      </c>
      <c r="B7" s="84" t="n">
        <v>2.2</v>
      </c>
      <c r="C7" s="23" t="inlineStr">
        <is>
          <t>第一段胃口增长指数</t>
        </is>
      </c>
      <c r="D7" s="23" t="inlineStr">
        <is>
          <t>只控制第一段内部形状，不控制结束时间</t>
        </is>
      </c>
      <c r="E7" s="24" t="inlineStr">
        <is>
          <t>大于1时前缓后陡；必须大于0</t>
        </is>
      </c>
    </row>
    <row r="8" ht="31.95" customHeight="1" s="70">
      <c r="A8" s="25" t="inlineStr">
        <is>
          <t>appetite_segment_2_end_time</t>
        </is>
      </c>
      <c r="B8" s="85" t="n">
        <v>300</v>
      </c>
      <c r="C8" s="14" t="inlineStr">
        <is>
          <t>第二段结束时间（秒）</t>
        </is>
      </c>
      <c r="D8" s="14" t="inlineStr">
        <is>
          <t>控制第二段何时到达第二段最大胃口</t>
        </is>
      </c>
      <c r="E8" s="26" t="inlineStr">
        <is>
          <t>必须晚于第一段且早于第三段</t>
        </is>
      </c>
    </row>
    <row r="9" ht="31.95" customHeight="1" s="70">
      <c r="A9" s="25" t="inlineStr">
        <is>
          <t>appetite_segment_2_maximum</t>
        </is>
      </c>
      <c r="B9" s="85" t="n">
        <v>2000</v>
      </c>
      <c r="C9" s="14" t="inlineStr">
        <is>
          <t>第二段最大胃口</t>
        </is>
      </c>
      <c r="D9" s="14" t="inlineStr">
        <is>
          <t>第二段结束时锁定的基准胃口</t>
        </is>
      </c>
      <c r="E9" s="26" t="inlineStr">
        <is>
          <t>中段压力过高或过低时调整</t>
        </is>
      </c>
    </row>
    <row r="10" ht="31.95" customHeight="1" s="70">
      <c r="A10" s="25" t="inlineStr">
        <is>
          <t>appetite_segment_2_exponent</t>
        </is>
      </c>
      <c r="B10" s="85" t="n">
        <v>2.1</v>
      </c>
      <c r="C10" s="14" t="inlineStr">
        <is>
          <t>第二段胃口增长指数</t>
        </is>
      </c>
      <c r="D10" s="14" t="inlineStr">
        <is>
          <t>只控制第二段内部形状，不控制结束时间</t>
        </is>
      </c>
      <c r="E10" s="26" t="inlineStr">
        <is>
          <t>大于1时前缓后陡；必须大于0</t>
        </is>
      </c>
    </row>
    <row r="11" ht="31.95" customHeight="1" s="70">
      <c r="A11" s="25" t="inlineStr">
        <is>
          <t>appetite_segment_3_end_time</t>
        </is>
      </c>
      <c r="B11" s="85" t="n">
        <v>480</v>
      </c>
      <c r="C11" s="14" t="inlineStr">
        <is>
          <t>第三段结束时间（秒）</t>
        </is>
      </c>
      <c r="D11" s="14" t="inlineStr">
        <is>
          <t>控制第三段何时到达最终最大胃口</t>
        </is>
      </c>
      <c r="E11" s="26" t="inlineStr">
        <is>
          <t>必须晚于前两段；超过后胃口封顶</t>
        </is>
      </c>
    </row>
    <row r="12" ht="31.95" customHeight="1" s="70">
      <c r="A12" s="25" t="inlineStr">
        <is>
          <t>appetite_segment_3_maximum</t>
        </is>
      </c>
      <c r="B12" s="85" t="n">
        <v>10000</v>
      </c>
      <c r="C12" s="14" t="inlineStr">
        <is>
          <t>第三段最大胃口</t>
        </is>
      </c>
      <c r="D12" s="14" t="inlineStr">
        <is>
          <t>第三段结束后持续使用的最终基准胃口</t>
        </is>
      </c>
      <c r="E12" s="26" t="inlineStr">
        <is>
          <t>末段压力过高或过低时调整</t>
        </is>
      </c>
    </row>
    <row r="13" ht="31.95" customHeight="1" s="70">
      <c r="A13" s="25" t="inlineStr">
        <is>
          <t>appetite_segment_3_exponent</t>
        </is>
      </c>
      <c r="B13" s="85" t="n">
        <v>2.1</v>
      </c>
      <c r="C13" s="14" t="inlineStr">
        <is>
          <t>第三段胃口增长指数</t>
        </is>
      </c>
      <c r="D13" s="14" t="inlineStr">
        <is>
          <t>只控制第三段内部形状，不控制结束时间</t>
        </is>
      </c>
      <c r="E13" s="26" t="inlineStr">
        <is>
          <t>大于1时前缓后陡；必须大于0</t>
        </is>
      </c>
    </row>
    <row r="14" ht="31.95" customHeight="1" s="70">
      <c r="A14" s="25" t="inlineStr">
        <is>
          <t>course_distance</t>
        </is>
      </c>
      <c r="B14" s="85" t="n">
        <v>1310.763</v>
      </c>
      <c r="C14" s="14" t="inlineStr">
        <is>
          <t>正式总路程（米）</t>
        </is>
      </c>
      <c r="D14" s="14" t="inlineStr">
        <is>
          <t>决定路程进度、事件、普通门与波次的实际推进尺度</t>
        </is>
      </c>
      <c r="E14" s="26" t="inlineStr">
        <is>
          <t>不要用目标时长反推；调整会移动全部路程节点</t>
        </is>
      </c>
    </row>
    <row r="15" ht="31.95" customHeight="1" s="70">
      <c r="A15" s="25" t="inlineStr">
        <is>
          <t>target_active_duration</t>
        </is>
      </c>
      <c r="B15" s="85" t="n">
        <v>480</v>
      </c>
      <c r="C15" s="14" t="inlineStr">
        <is>
          <t>策划参考：目标有效游戏时长（秒）</t>
        </is>
      </c>
      <c r="D15" s="14" t="inlineStr">
        <is>
          <t>不进入运行计算；用于对照实测单局总时长</t>
        </is>
      </c>
      <c r="E15" s="26" t="inlineStr">
        <is>
          <t>根据实测记录校准Boss胃口与整体节奏</t>
        </is>
      </c>
    </row>
    <row r="16" ht="31.95" customHeight="1" s="70">
      <c r="A16" s="25" t="inlineStr">
        <is>
          <t>target_boss_duration</t>
        </is>
      </c>
      <c r="B16" s="85" t="n">
        <v>25</v>
      </c>
      <c r="C16" s="14" t="inlineStr">
        <is>
          <t>策划参考：单场Boss目标时长（秒）</t>
        </is>
      </c>
      <c r="D16" s="14" t="inlineStr">
        <is>
          <t>不写死Boss结束时间；Boss仍由实际胃口与输出决定</t>
        </is>
      </c>
      <c r="E16" s="26" t="inlineStr">
        <is>
          <t>调Boss胃口倍率，使实测耗时趋近目标</t>
        </is>
      </c>
    </row>
    <row r="17" ht="31.95" customHeight="1" s="70">
      <c r="A17" s="25" t="inlineStr">
        <is>
          <t>normal_gate_count</t>
        </is>
      </c>
      <c r="B17" s="85" t="n">
        <v>50</v>
      </c>
      <c r="C17" s="14" t="inlineStr">
        <is>
          <t>正式普通强化门数量</t>
        </is>
      </c>
      <c r="D17" s="14" t="inlineStr">
        <is>
          <t>按总路程均匀分布，只在前进阶段生成</t>
        </is>
      </c>
      <c r="E17" s="26" t="inlineStr">
        <is>
          <t>改变成长频率，不改变事件路程进度</t>
        </is>
      </c>
    </row>
    <row r="18" ht="31.95" customHeight="1" s="70">
      <c r="A18" s="25" t="inlineStr">
        <is>
          <t>normal_wave_count</t>
        </is>
      </c>
      <c r="B18" s="85" t="n">
        <v>250</v>
      </c>
      <c r="C18" s="14" t="inlineStr">
        <is>
          <t>距离制普通波次数量</t>
        </is>
      </c>
      <c r="D18" s="14" t="inlineStr">
        <is>
          <t>以总路程平均间隔为基准做种子随机，保持现有五波轮换与双客密度</t>
        </is>
      </c>
      <c r="E18" s="26" t="inlineStr">
        <is>
          <t>改变平均食客密度；调整后检查生成安全距离</t>
        </is>
      </c>
    </row>
    <row r="19" ht="31.95" customHeight="1" s="70">
      <c r="A19" s="25" t="inlineStr">
        <is>
          <t>headwind_factor</t>
        </is>
      </c>
      <c r="B19" s="85" t="n">
        <v>1.25</v>
      </c>
      <c r="C19" s="14" t="inlineStr">
        <is>
          <t>额外前进速度转为迎面风阻的倍率</t>
        </is>
      </c>
      <c r="D19" s="14" t="inlineStr">
        <is>
          <t>压力档越高，普通投射物迎面风阻越强</t>
        </is>
      </c>
      <c r="E19" s="26" t="inlineStr">
        <is>
          <t>必须大于等于0；调整后复核弹道可读性</t>
        </is>
      </c>
    </row>
    <row r="20" ht="31.95" customHeight="1" s="70">
      <c r="A20" s="25" t="inlineStr">
        <is>
          <t>max_crosswind_speed</t>
        </is>
      </c>
      <c r="B20" s="85" t="n">
        <v>60</v>
      </c>
      <c r="C20" s="14" t="inlineStr">
        <is>
          <t>末档侧漂速度（设计像素/秒）</t>
        </is>
      </c>
      <c r="D20" s="14" t="inlineStr">
        <is>
          <t>控制末段横向风偏强度</t>
        </is>
      </c>
      <c r="E20" s="26" t="inlineStr">
        <is>
          <t>必须大于等于0；过强会降低操控可读性</t>
        </is>
      </c>
    </row>
    <row r="21" ht="31.95" customHeight="1" s="70">
      <c r="A21" s="27" t="inlineStr">
        <is>
          <t>minimum_cart_base_speed_factor</t>
        </is>
      </c>
      <c r="B21" s="86" t="n">
        <v>0.8</v>
      </c>
      <c r="C21" s="17" t="inlineStr">
        <is>
          <t>末档疲劳与颠簸保留的基础横移比例</t>
        </is>
      </c>
      <c r="D21" s="17" t="inlineStr">
        <is>
          <t>控制末档基础横移速度下限</t>
        </is>
      </c>
      <c r="E21" s="28" t="inlineStr">
        <is>
          <t>取值必须大于0且不超过1</t>
        </is>
      </c>
    </row>
    <row r="22">
      <c r="A22" t="inlineStr">
        <is>
          <t>normal_wave_interval_jitter_ratio</t>
        </is>
      </c>
      <c r="B22" t="n">
        <v>0.2</v>
      </c>
      <c r="C22" t="inlineStr">
        <is>
          <t>普通波次路程间隔的随机正负比例</t>
        </is>
      </c>
      <c r="D22" t="inlineStr">
        <is>
          <t>由本局种子生成可复现的间隔波动，不改变总波次与总路程</t>
        </is>
      </c>
      <c r="E22" t="inlineStr">
        <is>
          <t>0.2表示每个间隔在平均值的正负20%内；取值0到0.45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2" sqref="A2"/>
    </sheetView>
  </sheetViews>
  <sheetFormatPr baseColWidth="8" defaultColWidth="9" defaultRowHeight="13.8"/>
  <cols>
    <col width="13" customWidth="1" style="70" min="1" max="1"/>
    <col width="16" customWidth="1" style="70" min="2" max="2"/>
    <col width="14" customWidth="1" style="70" min="3" max="3"/>
    <col width="42" customWidth="1" style="70" min="4" max="4"/>
    <col width="12" customWidth="1" style="70" min="5" max="11"/>
    <col width="14" customWidth="1" style="70" min="12" max="14"/>
  </cols>
  <sheetData>
    <row r="1" ht="30" customHeight="1" s="70">
      <c r="A1" s="9" t="inlineStr">
        <is>
          <t>路程进度</t>
        </is>
      </c>
      <c r="B1" s="10" t="inlineStr">
        <is>
          <t>事件ID</t>
        </is>
      </c>
      <c r="C1" s="10" t="inlineStr">
        <is>
          <t>类型</t>
        </is>
      </c>
      <c r="D1" s="10" t="inlineStr">
        <is>
          <t>说明</t>
        </is>
      </c>
      <c r="E1" s="11" t="inlineStr">
        <is>
          <t>前进倍率</t>
        </is>
      </c>
    </row>
    <row r="2" ht="24" customHeight="1" s="70">
      <c r="A2" s="87" t="n">
        <v>0</v>
      </c>
      <c r="B2" s="12" t="inlineStr">
        <is>
          <t>start_gate</t>
        </is>
      </c>
      <c r="C2" s="13" t="inlineStr">
        <is>
          <t>开局食材门</t>
        </is>
      </c>
      <c r="D2" s="14" t="inlineStr">
        <is>
          <t>开局立即出现，至少早于首个普通食客2秒</t>
        </is>
      </c>
      <c r="E2" s="88" t="n"/>
    </row>
    <row r="3" ht="24" customHeight="1" s="70">
      <c r="A3" s="87" t="n">
        <v>0.125</v>
      </c>
      <c r="B3" s="12" t="inlineStr">
        <is>
          <t>elite</t>
        </is>
      </c>
      <c r="C3" s="13" t="inlineStr">
        <is>
          <t>精英</t>
        </is>
      </c>
      <c r="D3" s="14" t="inlineStr">
        <is>
          <t>第一只精英</t>
        </is>
      </c>
      <c r="E3" s="88" t="n"/>
    </row>
    <row r="4" ht="24" customHeight="1" s="70">
      <c r="A4" s="87" t="n">
        <v>0.1875</v>
      </c>
      <c r="B4" s="12" t="n"/>
      <c r="C4" s="13" t="inlineStr">
        <is>
          <t>压力</t>
        </is>
      </c>
      <c r="D4" s="14" t="inlineStr">
        <is>
          <t>前进倍率提升至1.1</t>
        </is>
      </c>
      <c r="E4" s="88" t="n">
        <v>1.1</v>
      </c>
    </row>
    <row r="5" ht="24" customHeight="1" s="70">
      <c r="A5" s="87" t="n">
        <v>0.25</v>
      </c>
      <c r="B5" s="12" t="inlineStr">
        <is>
          <t>elite</t>
        </is>
      </c>
      <c r="C5" s="13" t="inlineStr">
        <is>
          <t>精英</t>
        </is>
      </c>
      <c r="D5" s="14" t="inlineStr">
        <is>
          <t>第二只精英</t>
        </is>
      </c>
      <c r="E5" s="88" t="n"/>
    </row>
    <row r="6" ht="24" customHeight="1" s="70">
      <c r="A6" s="87" t="n">
        <v>0.3125</v>
      </c>
      <c r="B6" s="12" t="n"/>
      <c r="C6" s="13" t="inlineStr">
        <is>
          <t>压力</t>
        </is>
      </c>
      <c r="D6" s="14" t="inlineStr">
        <is>
          <t>前进倍率提升至1.3</t>
        </is>
      </c>
      <c r="E6" s="88" t="n">
        <v>1.3</v>
      </c>
    </row>
    <row r="7" ht="24" customHeight="1" s="70">
      <c r="A7" s="87" t="n">
        <v>0.375</v>
      </c>
      <c r="B7" s="12" t="inlineStr">
        <is>
          <t>elite</t>
        </is>
      </c>
      <c r="C7" s="13" t="inlineStr">
        <is>
          <t>精英</t>
        </is>
      </c>
      <c r="D7" s="14" t="inlineStr">
        <is>
          <t>第三只精英</t>
        </is>
      </c>
      <c r="E7" s="88" t="n"/>
    </row>
    <row r="8" ht="24" customHeight="1" s="70">
      <c r="A8" s="87" t="n">
        <v>0.5</v>
      </c>
      <c r="B8" s="12" t="inlineStr">
        <is>
          <t>boss</t>
        </is>
      </c>
      <c r="C8" s="13" t="inlineStr">
        <is>
          <t>Boss/压力</t>
        </is>
      </c>
      <c r="D8" s="14" t="inlineStr">
        <is>
          <t>中途Boss；胜利后进入1.7倍前进</t>
        </is>
      </c>
      <c r="E8" s="88" t="n">
        <v>1.7</v>
      </c>
    </row>
    <row r="9" ht="24" customHeight="1" s="70">
      <c r="A9" s="87" t="n">
        <v>0.625</v>
      </c>
      <c r="B9" s="12" t="inlineStr">
        <is>
          <t>elite</t>
        </is>
      </c>
      <c r="C9" s="13" t="inlineStr">
        <is>
          <t>精英</t>
        </is>
      </c>
      <c r="D9" s="14" t="inlineStr">
        <is>
          <t>第四只精英</t>
        </is>
      </c>
      <c r="E9" s="88" t="n"/>
    </row>
    <row r="10" ht="24" customHeight="1" s="70">
      <c r="A10" s="87" t="n">
        <v>0.6875</v>
      </c>
      <c r="B10" s="12" t="n"/>
      <c r="C10" s="13" t="inlineStr">
        <is>
          <t>压力</t>
        </is>
      </c>
      <c r="D10" s="14" t="inlineStr">
        <is>
          <t>前进倍率提升至2.3</t>
        </is>
      </c>
      <c r="E10" s="88" t="n">
        <v>2.3</v>
      </c>
    </row>
    <row r="11" ht="24" customHeight="1" s="70">
      <c r="A11" s="87" t="n">
        <v>0.75</v>
      </c>
      <c r="B11" s="12" t="inlineStr">
        <is>
          <t>elite</t>
        </is>
      </c>
      <c r="C11" s="13" t="inlineStr">
        <is>
          <t>精英</t>
        </is>
      </c>
      <c r="D11" s="14" t="inlineStr">
        <is>
          <t>第五只精英</t>
        </is>
      </c>
      <c r="E11" s="88" t="n"/>
    </row>
    <row r="12" ht="24" customHeight="1" s="70">
      <c r="A12" s="87" t="n">
        <v>0.8125</v>
      </c>
      <c r="B12" s="12" t="n"/>
      <c r="C12" s="13" t="inlineStr">
        <is>
          <t>压力</t>
        </is>
      </c>
      <c r="D12" s="14" t="inlineStr">
        <is>
          <t>前进倍率提升至3.0</t>
        </is>
      </c>
      <c r="E12" s="88" t="n">
        <v>3</v>
      </c>
    </row>
    <row r="13" ht="24" customHeight="1" s="70">
      <c r="A13" s="87" t="n">
        <v>0.875</v>
      </c>
      <c r="B13" s="12" t="inlineStr">
        <is>
          <t>elite</t>
        </is>
      </c>
      <c r="C13" s="13" t="inlineStr">
        <is>
          <t>精英</t>
        </is>
      </c>
      <c r="D13" s="14" t="inlineStr">
        <is>
          <t>第六只精英</t>
        </is>
      </c>
      <c r="E13" s="88" t="n"/>
    </row>
    <row r="14" ht="24" customHeight="1" s="70">
      <c r="A14" s="89" t="n">
        <v>1</v>
      </c>
      <c r="B14" s="15" t="inlineStr">
        <is>
          <t>boss</t>
        </is>
      </c>
      <c r="C14" s="16" t="inlineStr">
        <is>
          <t>Boss</t>
        </is>
      </c>
      <c r="D14" s="17" t="inlineStr">
        <is>
          <t>最终Boss</t>
        </is>
      </c>
      <c r="E14" s="90" t="n"/>
    </row>
    <row r="15" ht="31.95" customHeight="1" s="70"/>
    <row r="16" ht="31.95" customHeight="1" s="70"/>
    <row r="17" ht="22.05" customHeight="1" s="70"/>
    <row r="18" ht="22.05" customHeight="1" s="70"/>
    <row r="19" ht="22.05" customHeight="1" s="70"/>
    <row r="20" ht="22.05" customHeight="1" s="70"/>
    <row r="21" ht="22.05" customHeight="1" s="70"/>
    <row r="22" ht="22.05" customHeight="1" s="70"/>
    <row r="23" ht="22.05" customHeight="1" s="70"/>
    <row r="24" ht="22.05" customHeight="1" s="70"/>
    <row r="25" ht="22.05" customHeight="1" s="70"/>
    <row r="26" ht="22.05" customHeight="1" s="70"/>
    <row r="27" ht="22.05" customHeight="1" s="70"/>
    <row r="28" ht="22.05" customHeight="1" s="70"/>
    <row r="29" ht="22.05" customHeight="1" s="70"/>
    <row r="30" ht="22.05" customHeight="1" s="70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9" defaultRowHeight="13.8"/>
  <cols>
    <col width="18" customWidth="1" style="70" min="1" max="1"/>
    <col width="92" customWidth="1" style="70" min="2" max="2"/>
  </cols>
  <sheetData>
    <row r="1" ht="30" customHeight="1" s="70">
      <c r="A1" s="8" t="inlineStr">
        <is>
          <t>项目</t>
        </is>
      </c>
      <c r="B1" s="8" t="inlineStr">
        <is>
          <t>说明</t>
        </is>
      </c>
    </row>
    <row r="2" ht="42" customHeight="1" s="70">
      <c r="A2" s="1" t="inlineStr">
        <is>
          <t>推荐入口</t>
        </is>
      </c>
      <c r="B2" s="2" t="inlineStr">
        <is>
          <t>先看“时间轴预览”页；到“配置 / 事件”页修改黄色单元格。</t>
        </is>
      </c>
    </row>
    <row r="3" ht="42" customHeight="1" s="70">
      <c r="A3" s="3" t="inlineStr">
        <is>
          <t>生效方式</t>
        </is>
      </c>
      <c r="B3" s="4" t="inlineStr">
        <is>
          <t>保存并关闭工作簿后，重新开始本局或重新运行 run_3d.tscn；游戏启动时直接读取此文件。</t>
        </is>
      </c>
    </row>
    <row r="4" ht="42" customHeight="1" s="70">
      <c r="A4" s="3" t="inlineStr">
        <is>
          <t>颜色含义</t>
        </is>
      </c>
      <c r="B4" s="4" t="inlineStr">
        <is>
          <t>黄色是人工输入；蓝色是联动公式；绿色是说明或分类。</t>
        </is>
      </c>
    </row>
    <row r="5" ht="42" customHeight="1" s="70">
      <c r="A5" s="3" t="inlineStr">
        <is>
          <t>输入规则</t>
        </is>
      </c>
      <c r="B5" s="4" t="inlineStr">
        <is>
          <t>关键运行参数和事件路程进度必须填写常量，不要在黄色输入格使用公式。</t>
        </is>
      </c>
    </row>
    <row r="6" ht="42" customHeight="1" s="70">
      <c r="A6" s="3" t="inlineStr">
        <is>
          <t>事件顺序</t>
        </is>
      </c>
      <c r="B6" s="4" t="inlineStr">
        <is>
          <t>事件按路程进度从小到大读取；路程进度范围为0～1，事件ID按现有支持项填写。</t>
        </is>
      </c>
    </row>
    <row r="7" ht="42" customHeight="1" s="70">
      <c r="A7" s="3" t="inlineStr">
        <is>
          <t>预览范围</t>
        </is>
      </c>
      <c r="B7" s="4" t="inlineStr">
        <is>
          <t>三张曲线分别预览0～135秒、135～300秒和300～480秒；事件只显示路程进度，不换算成时间。</t>
        </is>
      </c>
    </row>
    <row r="8" ht="42" customHeight="1" s="70">
      <c r="A8" s="3" t="inlineStr">
        <is>
          <t>失败回退</t>
        </is>
      </c>
      <c r="B8" s="4" t="inlineStr">
        <is>
          <t>文件缺失、结构不符或数据非法时，游戏使用 data/timelines/vertical_slice.tres 并打印警告。</t>
        </is>
      </c>
    </row>
    <row r="9" ht="42" customHeight="1" s="70">
      <c r="A9" s="3" t="inlineStr">
        <is>
          <t>结构保护</t>
        </is>
      </c>
      <c r="B9" s="4" t="inlineStr">
        <is>
          <t>schema_id 与 schema_version=4 用于防止旧结构或错误工作簿被当作当前时间轴读取。</t>
        </is>
      </c>
    </row>
    <row r="10" ht="42" customHeight="1" s="70">
      <c r="A10" s="5" t="inlineStr">
        <is>
          <t>临时文件</t>
        </is>
      </c>
      <c r="B10" s="6" t="inlineStr">
        <is>
          <t>Excel 打开时产生的 ~$*.xlsx 不会被游戏读取，也不应提交到 Git。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2026-07-29T17:10:47Z</dcterms:created>
  <dcterms:modified xmlns:dcterms="http://purl.org/dc/terms/" xmlns:xsi="http://www.w3.org/2001/XMLSchema-instance" xsi:type="dcterms:W3CDTF">2026-08-05T03:19:12Z</dcterms:modified>
  <cp:lastModifiedBy>塔</cp:lastModifiedBy>
</cp:coreProperties>
</file>