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D:\gameproduct\小厨西\balance_tables\"/>
    </mc:Choice>
  </mc:AlternateContent>
  <xr:revisionPtr revIDLastSave="0" documentId="13_ncr:1_{E78CCDBD-B3BC-4A8C-ACD7-CB4BD6A936E3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时间轴预览" sheetId="1" r:id="rId1"/>
    <sheet name="配置" sheetId="2" r:id="rId2"/>
    <sheet name="事件" sheetId="3" r:id="rId3"/>
    <sheet name="说明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6" i="3" l="1"/>
  <c r="N16" i="3" s="1"/>
  <c r="E15" i="3"/>
  <c r="L15" i="3" s="1"/>
  <c r="E14" i="3"/>
  <c r="J14" i="3" s="1"/>
  <c r="E13" i="3"/>
  <c r="H13" i="3" s="1"/>
  <c r="G33" i="1" s="1"/>
  <c r="E12" i="3"/>
  <c r="F12" i="3" s="1"/>
  <c r="E32" i="1" s="1"/>
  <c r="E11" i="3"/>
  <c r="H11" i="3" s="1"/>
  <c r="G31" i="1" s="1"/>
  <c r="E10" i="3"/>
  <c r="N10" i="3" s="1"/>
  <c r="E9" i="3"/>
  <c r="L9" i="3" s="1"/>
  <c r="E8" i="3"/>
  <c r="J8" i="3" s="1"/>
  <c r="E7" i="3"/>
  <c r="H7" i="3" s="1"/>
  <c r="G27" i="1" s="1"/>
  <c r="E6" i="3"/>
  <c r="F6" i="3" s="1"/>
  <c r="E26" i="1" s="1"/>
  <c r="E5" i="3"/>
  <c r="H5" i="3" s="1"/>
  <c r="G25" i="1" s="1"/>
  <c r="E4" i="3"/>
  <c r="N4" i="3" s="1"/>
  <c r="E3" i="3"/>
  <c r="L3" i="3" s="1"/>
  <c r="E2" i="3"/>
  <c r="J2" i="3" s="1"/>
  <c r="C36" i="1"/>
  <c r="B36" i="1"/>
  <c r="A36" i="1"/>
  <c r="C35" i="1"/>
  <c r="B35" i="1"/>
  <c r="A35" i="1"/>
  <c r="D34" i="1"/>
  <c r="C34" i="1"/>
  <c r="B34" i="1"/>
  <c r="A34" i="1"/>
  <c r="C33" i="1"/>
  <c r="B33" i="1"/>
  <c r="A33" i="1"/>
  <c r="C32" i="1"/>
  <c r="B32" i="1"/>
  <c r="A32" i="1"/>
  <c r="C31" i="1"/>
  <c r="B31" i="1"/>
  <c r="A31" i="1"/>
  <c r="C30" i="1"/>
  <c r="B30" i="1"/>
  <c r="A30" i="1"/>
  <c r="C29" i="1"/>
  <c r="B29" i="1"/>
  <c r="A29" i="1"/>
  <c r="C28" i="1"/>
  <c r="B28" i="1"/>
  <c r="A28" i="1"/>
  <c r="C27" i="1"/>
  <c r="B27" i="1"/>
  <c r="A27" i="1"/>
  <c r="C26" i="1"/>
  <c r="B26" i="1"/>
  <c r="A26" i="1"/>
  <c r="C25" i="1"/>
  <c r="B25" i="1"/>
  <c r="A25" i="1"/>
  <c r="C24" i="1"/>
  <c r="B24" i="1"/>
  <c r="A24" i="1"/>
  <c r="C23" i="1"/>
  <c r="B23" i="1"/>
  <c r="A23" i="1"/>
  <c r="C22" i="1"/>
  <c r="B22" i="1"/>
  <c r="A22" i="1"/>
  <c r="I15" i="1"/>
  <c r="H15" i="1"/>
  <c r="I14" i="1"/>
  <c r="H14" i="1"/>
  <c r="I13" i="1"/>
  <c r="H13" i="1"/>
  <c r="I12" i="1"/>
  <c r="H12" i="1"/>
  <c r="I11" i="1"/>
  <c r="H11" i="1"/>
  <c r="I10" i="1"/>
  <c r="H10" i="1"/>
  <c r="E10" i="1"/>
  <c r="B10" i="1"/>
  <c r="I9" i="1"/>
  <c r="H9" i="1"/>
  <c r="E9" i="1"/>
  <c r="B9" i="1"/>
  <c r="I8" i="1"/>
  <c r="H8" i="1"/>
  <c r="E8" i="1"/>
  <c r="B8" i="1"/>
  <c r="I7" i="1"/>
  <c r="H7" i="1"/>
  <c r="E7" i="1"/>
  <c r="B7" i="1"/>
  <c r="I6" i="1"/>
  <c r="H6" i="1"/>
  <c r="I3" i="3" l="1"/>
  <c r="D32" i="1"/>
  <c r="J5" i="3"/>
  <c r="K10" i="3"/>
  <c r="H30" i="1" s="1"/>
  <c r="K5" i="3"/>
  <c r="H25" i="1" s="1"/>
  <c r="L10" i="3"/>
  <c r="D25" i="1"/>
  <c r="L5" i="3"/>
  <c r="N5" i="3"/>
  <c r="K12" i="3"/>
  <c r="H32" i="1" s="1"/>
  <c r="D22" i="1"/>
  <c r="F3" i="3"/>
  <c r="E23" i="1" s="1"/>
  <c r="L12" i="3"/>
  <c r="G3" i="3"/>
  <c r="F23" i="1" s="1"/>
  <c r="M12" i="3"/>
  <c r="I32" i="1" s="1"/>
  <c r="H3" i="3"/>
  <c r="G23" i="1" s="1"/>
  <c r="N12" i="3"/>
  <c r="H10" i="3"/>
  <c r="G30" i="1" s="1"/>
  <c r="I10" i="3"/>
  <c r="I5" i="3"/>
  <c r="J10" i="3"/>
  <c r="N7" i="3"/>
  <c r="M5" i="3"/>
  <c r="I25" i="1" s="1"/>
  <c r="F9" i="3"/>
  <c r="E29" i="1" s="1"/>
  <c r="I11" i="3"/>
  <c r="N13" i="3"/>
  <c r="G4" i="3"/>
  <c r="F24" i="1" s="1"/>
  <c r="G9" i="3"/>
  <c r="F29" i="1" s="1"/>
  <c r="J11" i="3"/>
  <c r="H4" i="3"/>
  <c r="G24" i="1" s="1"/>
  <c r="H9" i="3"/>
  <c r="G29" i="1" s="1"/>
  <c r="K11" i="3"/>
  <c r="H31" i="1" s="1"/>
  <c r="D30" i="1"/>
  <c r="I4" i="3"/>
  <c r="I6" i="3"/>
  <c r="I9" i="3"/>
  <c r="L11" i="3"/>
  <c r="F15" i="3"/>
  <c r="E35" i="1" s="1"/>
  <c r="D26" i="1"/>
  <c r="M11" i="3"/>
  <c r="G15" i="3"/>
  <c r="F35" i="1" s="1"/>
  <c r="J4" i="3"/>
  <c r="K6" i="3"/>
  <c r="H26" i="1" s="1"/>
  <c r="K4" i="3"/>
  <c r="H24" i="1" s="1"/>
  <c r="L6" i="3"/>
  <c r="G10" i="3"/>
  <c r="F30" i="1" s="1"/>
  <c r="N11" i="3"/>
  <c r="H15" i="3"/>
  <c r="G35" i="1" s="1"/>
  <c r="M6" i="3"/>
  <c r="I15" i="3"/>
  <c r="G5" i="3"/>
  <c r="F25" i="1" s="1"/>
  <c r="N6" i="3"/>
  <c r="F2" i="3"/>
  <c r="E22" i="1" s="1"/>
  <c r="K16" i="3"/>
  <c r="H36" i="1" s="1"/>
  <c r="D24" i="1"/>
  <c r="D28" i="1"/>
  <c r="K2" i="3"/>
  <c r="H22" i="1" s="1"/>
  <c r="G12" i="3"/>
  <c r="F32" i="1" s="1"/>
  <c r="I13" i="3"/>
  <c r="K14" i="3"/>
  <c r="H34" i="1" s="1"/>
  <c r="M15" i="3"/>
  <c r="D36" i="1"/>
  <c r="M3" i="3"/>
  <c r="G6" i="3"/>
  <c r="F26" i="1" s="1"/>
  <c r="I7" i="3"/>
  <c r="K8" i="3"/>
  <c r="H28" i="1" s="1"/>
  <c r="M9" i="3"/>
  <c r="L2" i="3"/>
  <c r="N3" i="3"/>
  <c r="F5" i="3"/>
  <c r="E25" i="1" s="1"/>
  <c r="H6" i="3"/>
  <c r="G26" i="1" s="1"/>
  <c r="J7" i="3"/>
  <c r="L8" i="3"/>
  <c r="N9" i="3"/>
  <c r="F11" i="3"/>
  <c r="E31" i="1" s="1"/>
  <c r="H12" i="3"/>
  <c r="G32" i="1" s="1"/>
  <c r="J13" i="3"/>
  <c r="L14" i="3"/>
  <c r="N15" i="3"/>
  <c r="F8" i="3"/>
  <c r="E28" i="1" s="1"/>
  <c r="F14" i="3"/>
  <c r="E34" i="1" s="1"/>
  <c r="M2" i="3"/>
  <c r="K7" i="3"/>
  <c r="H27" i="1" s="1"/>
  <c r="M8" i="3"/>
  <c r="G11" i="3"/>
  <c r="F31" i="1" s="1"/>
  <c r="I12" i="3"/>
  <c r="K13" i="3"/>
  <c r="H33" i="1" s="1"/>
  <c r="M14" i="3"/>
  <c r="I34" i="1" s="1"/>
  <c r="D23" i="1"/>
  <c r="D27" i="1"/>
  <c r="D31" i="1"/>
  <c r="D35" i="1"/>
  <c r="N2" i="3"/>
  <c r="F4" i="3"/>
  <c r="E24" i="1" s="1"/>
  <c r="J6" i="3"/>
  <c r="L7" i="3"/>
  <c r="N8" i="3"/>
  <c r="F10" i="3"/>
  <c r="E30" i="1" s="1"/>
  <c r="J12" i="3"/>
  <c r="L13" i="3"/>
  <c r="N14" i="3"/>
  <c r="F16" i="3"/>
  <c r="E36" i="1" s="1"/>
  <c r="I16" i="3"/>
  <c r="M7" i="3"/>
  <c r="I27" i="1" s="1"/>
  <c r="M13" i="3"/>
  <c r="I33" i="1" s="1"/>
  <c r="G16" i="3"/>
  <c r="F36" i="1" s="1"/>
  <c r="H16" i="3"/>
  <c r="G36" i="1" s="1"/>
  <c r="G2" i="3"/>
  <c r="F22" i="1" s="1"/>
  <c r="G14" i="3"/>
  <c r="F34" i="1" s="1"/>
  <c r="L4" i="3"/>
  <c r="G13" i="3"/>
  <c r="F33" i="1" s="1"/>
  <c r="I14" i="3"/>
  <c r="K15" i="3"/>
  <c r="H35" i="1" s="1"/>
  <c r="M16" i="3"/>
  <c r="I36" i="1" s="1"/>
  <c r="J16" i="3"/>
  <c r="G8" i="3"/>
  <c r="F28" i="1" s="1"/>
  <c r="D29" i="1"/>
  <c r="D33" i="1"/>
  <c r="H2" i="3"/>
  <c r="G22" i="1" s="1"/>
  <c r="J3" i="3"/>
  <c r="F7" i="3"/>
  <c r="E27" i="1" s="1"/>
  <c r="H8" i="3"/>
  <c r="G28" i="1" s="1"/>
  <c r="J9" i="3"/>
  <c r="F13" i="3"/>
  <c r="E33" i="1" s="1"/>
  <c r="H14" i="3"/>
  <c r="G34" i="1" s="1"/>
  <c r="J15" i="3"/>
  <c r="L16" i="3"/>
  <c r="I2" i="3"/>
  <c r="K3" i="3"/>
  <c r="H23" i="1" s="1"/>
  <c r="M4" i="3"/>
  <c r="I24" i="1" s="1"/>
  <c r="G7" i="3"/>
  <c r="F27" i="1" s="1"/>
  <c r="I8" i="3"/>
  <c r="K9" i="3"/>
  <c r="H29" i="1" s="1"/>
  <c r="M10" i="3"/>
  <c r="I30" i="1" s="1"/>
  <c r="I31" i="1" l="1"/>
  <c r="I23" i="1"/>
  <c r="I26" i="1"/>
  <c r="I35" i="1"/>
  <c r="I22" i="1"/>
  <c r="I28" i="1"/>
  <c r="I29" i="1"/>
</calcChain>
</file>

<file path=xl/sharedStrings.xml><?xml version="1.0" encoding="utf-8"?>
<sst xmlns="http://schemas.openxmlformats.org/spreadsheetml/2006/main" count="251" uniqueCount="120">
  <si>
    <t>小厨西 · 时间轴策划预览</t>
  </si>
  <si>
    <t>黄色单元格在“配置 / 事件”页修改；本页全部自动联动。曲线表示全局基准胃口，实际食客胃口还会乘类型倍率与奖励百分位；事件时间是请求时刻，生成安全距离不足时可能顺延。</t>
  </si>
  <si>
    <t>核心曲线参数</t>
  </si>
  <si>
    <t>时间(s)</t>
  </si>
  <si>
    <t>基准胃口</t>
  </si>
  <si>
    <t>参数</t>
  </si>
  <si>
    <t>当前值</t>
  </si>
  <si>
    <t>事件概览</t>
  </si>
  <si>
    <t>起始胃口</t>
  </si>
  <si>
    <t>显式事件数</t>
  </si>
  <si>
    <t>结束胃口</t>
  </si>
  <si>
    <t>普通强化门数</t>
  </si>
  <si>
    <t>增长结束时间(s)</t>
  </si>
  <si>
    <t>精英请求时间(s)</t>
  </si>
  <si>
    <t>增长指数</t>
  </si>
  <si>
    <t>Boss 请求时间(s)</t>
  </si>
  <si>
    <t>显式事件压力预览与调参说明</t>
  </si>
  <si>
    <t>请求时间(s)</t>
  </si>
  <si>
    <t>事件ID</t>
  </si>
  <si>
    <t>类型</t>
  </si>
  <si>
    <t>普通p0</t>
  </si>
  <si>
    <t>普通p1</t>
  </si>
  <si>
    <t>快速p0</t>
  </si>
  <si>
    <t>远程p1</t>
  </si>
  <si>
    <t>门基础范围</t>
  </si>
  <si>
    <t>参数含义与修改方向</t>
  </si>
  <si>
    <t>主要控制开局食客、开局门与漏怪伤害基准；降低它会直接放松前几十秒。</t>
  </si>
  <si>
    <t>控制曲线封顶后的压力；主要影响中后段、精英与 Boss 前后的基础需求。</t>
  </si>
  <si>
    <t>增长结束时间</t>
  </si>
  <si>
    <t>基准胃口达到终点的时刻；时间越长，整条曲线爬升越慢。</t>
  </si>
  <si>
    <t>1 为线性；大于 1 时前缓后陡，数值越大越把压力推迟到后段。</t>
  </si>
  <si>
    <t>事件时间</t>
  </si>
  <si>
    <t>只表示请求生成时刻；场上安全距离不足时会排队，因此实机出现可能稍晚。</t>
  </si>
  <si>
    <t>普通波次</t>
  </si>
  <si>
    <t>普通食客波次仍由 scripts/run.gd 的规则生成，不在本表逐条控制。</t>
  </si>
  <si>
    <t>策划修改须知</t>
  </si>
  <si>
    <t>1</t>
  </si>
  <si>
    <t>只修改黄色单元格；预览页和蓝色公式区不需要手填。</t>
  </si>
  <si>
    <t>2</t>
  </si>
  <si>
    <t>保存并关闭 Excel 后，重新开始本局或重新运行 run.tscn 才会重新读取。</t>
  </si>
  <si>
    <t>3</t>
  </si>
  <si>
    <t>事件按行顺序读取，请求时间必须从小到大或相等；事件ID必须保持唯一且受支持。</t>
  </si>
  <si>
    <t>4</t>
  </si>
  <si>
    <t>文件缺失或数据非法时会回退到 data/timelines/vertical_slice.tres，并在输出面板提示。</t>
  </si>
  <si>
    <t>参数ID</t>
  </si>
  <si>
    <t>数值</t>
  </si>
  <si>
    <t>说明</t>
  </si>
  <si>
    <t>对游戏的影响</t>
  </si>
  <si>
    <t>修改建议</t>
  </si>
  <si>
    <t>schema_id</t>
  </si>
  <si>
    <t>xiaochuxi.encounter_timeline</t>
  </si>
  <si>
    <t>表结构标识，请勿修改</t>
  </si>
  <si>
    <t>用于确认这是小厨西时间轴表</t>
  </si>
  <si>
    <t>不要修改</t>
  </si>
  <si>
    <t>schema_version</t>
  </si>
  <si>
    <t>表结构版本，请勿修改</t>
  </si>
  <si>
    <t>用于识别表结构兼容性</t>
  </si>
  <si>
    <t>baseline_appetite_start</t>
  </si>
  <si>
    <t>基准胃口曲线起点</t>
  </si>
  <si>
    <t>决定开局食客、门和漏怪伤害的基准</t>
  </si>
  <si>
    <t>开局太难时优先降低</t>
  </si>
  <si>
    <t>baseline_appetite_end</t>
  </si>
  <si>
    <t>基准胃口曲线终点</t>
  </si>
  <si>
    <t>决定曲线封顶后的中后期基础压力</t>
  </si>
  <si>
    <t>后段太难时降低</t>
  </si>
  <si>
    <t>baseline_appetite_end_time</t>
  </si>
  <si>
    <t>达到终点胃口的时间（秒）</t>
  </si>
  <si>
    <t>越大则整体增长越慢、封顶越晚</t>
  </si>
  <si>
    <t>想延缓压力可提高</t>
  </si>
  <si>
    <t>baseline_appetite_exponent</t>
  </si>
  <si>
    <t>曲线指数</t>
  </si>
  <si>
    <t>大于1时前缓后陡；1为线性</t>
  </si>
  <si>
    <t>想让前期更松可提高</t>
  </si>
  <si>
    <t>快速p1</t>
  </si>
  <si>
    <t>远程p0</t>
  </si>
  <si>
    <t>精英胃口</t>
  </si>
  <si>
    <t>门基础最低</t>
  </si>
  <si>
    <t>门基础最高</t>
  </si>
  <si>
    <t>start_gate</t>
  </si>
  <si>
    <t>开局食材门</t>
  </si>
  <si>
    <t>开局食材门，提供第一组构筑选择</t>
  </si>
  <si>
    <t>gate_0</t>
  </si>
  <si>
    <t>普通强化门</t>
  </si>
  <si>
    <t>普通强化门，请求后仍受安全生成距离约束</t>
  </si>
  <si>
    <t>gate_1</t>
  </si>
  <si>
    <t>gate_2</t>
  </si>
  <si>
    <t>gate_3</t>
  </si>
  <si>
    <t>gate_4</t>
  </si>
  <si>
    <t>gate_5</t>
  </si>
  <si>
    <t>elite</t>
  </si>
  <si>
    <t>精英</t>
  </si>
  <si>
    <t>精英检查；满足后进入特殊强化选择</t>
  </si>
  <si>
    <t>gate_6</t>
  </si>
  <si>
    <t>gate_7</t>
  </si>
  <si>
    <t>gate_8</t>
  </si>
  <si>
    <t>gate_9</t>
  </si>
  <si>
    <t>gate_10</t>
  </si>
  <si>
    <t>gate_11</t>
  </si>
  <si>
    <t>boss</t>
  </si>
  <si>
    <t>Boss</t>
  </si>
  <si>
    <t>Boss 检查；通过后进入胜利结算</t>
  </si>
  <si>
    <t>项目</t>
  </si>
  <si>
    <t>推荐入口</t>
  </si>
  <si>
    <t>先看“时间轴预览”页；到“配置 / 事件”页修改黄色单元格。</t>
  </si>
  <si>
    <t>生效方式</t>
  </si>
  <si>
    <t>保存并关闭工作簿后，重新开始本局或重新运行 run.tscn；游戏启动时直接读取此文件。</t>
  </si>
  <si>
    <t>颜色含义</t>
  </si>
  <si>
    <t>黄色是人工输入；蓝色是联动公式；绿色是说明或分类。</t>
  </si>
  <si>
    <t>输入规则</t>
  </si>
  <si>
    <t>关键参数和事件时间必须填写常量，不要在黄色输入格使用公式。</t>
  </si>
  <si>
    <t>事件顺序</t>
  </si>
  <si>
    <t>事件按行顺序读取，请求时间必须从小到大或相等，事件ID不能为空。</t>
  </si>
  <si>
    <t>预览范围</t>
  </si>
  <si>
    <t>食客与门的数字用于观察压力。普通波次频率、随机百分位和安全生成延迟仍由游戏逻辑决定。</t>
  </si>
  <si>
    <t>失败回退</t>
  </si>
  <si>
    <t>文件缺失、结构不符或数据非法时，游戏使用 data/timelines/vertical_slice.tres 并打印警告。</t>
  </si>
  <si>
    <t>结构保护</t>
  </si>
  <si>
    <t>schema_id 和 schema_version 用于防止错误工作簿被当作时间轴读取。</t>
  </si>
  <si>
    <t>临时文件</t>
  </si>
  <si>
    <t>Excel 打开时产生的 ~$*.xlsx 不会被游戏读取，也不应提交到 Git。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</si>
</sst>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0.0"/>
  </numFmts>
  <fonts count="8">
    <font>
      <sz val="11"/>
      <name val="Carlito"/>
      <charset val="134"/>
    </font>
    <font>
      <b/>
      <sz val="10"/>
      <color rgb="FFFFFFFF"/>
      <name val="Microsoft YaHei"/>
      <charset val="134"/>
    </font>
    <font>
      <sz val="10"/>
      <color rgb="FF243238"/>
      <name val="Microsoft YaHei"/>
      <charset val="134"/>
    </font>
    <font>
      <b/>
      <sz val="18"/>
      <color rgb="FFFFFFFF"/>
      <name val="Microsoft YaHei"/>
      <charset val="134"/>
    </font>
    <font>
      <b/>
      <sz val="11"/>
      <color rgb="FFFFFFFF"/>
      <name val="Microsoft YaHei"/>
      <charset val="134"/>
    </font>
    <font>
      <b/>
      <sz val="10"/>
      <color rgb="FF243238"/>
      <name val="Microsoft YaHei"/>
      <charset val="134"/>
    </font>
    <font>
      <sz val="11"/>
      <name val="Carlito"/>
      <charset val="134"/>
    </font>
    <font>
      <sz val="9"/>
      <name val="Carlito"/>
      <charset val="134"/>
    </font>
  </fonts>
  <fills count="9">
    <fill>
      <patternFill patternType="none"/>
    </fill>
    <fill>
      <patternFill patternType="gray125"/>
    </fill>
    <fill>
      <patternFill patternType="solid">
        <fgColor rgb="FF243238"/>
        <bgColor indexed="64"/>
      </patternFill>
    </fill>
    <fill>
      <patternFill patternType="solid">
        <fgColor rgb="FFE8F3EC"/>
        <bgColor indexed="64"/>
      </patternFill>
    </fill>
    <fill>
      <patternFill patternType="solid">
        <fgColor rgb="FFFFF3CD"/>
        <bgColor indexed="64"/>
      </patternFill>
    </fill>
    <fill>
      <patternFill patternType="solid">
        <fgColor rgb="FFE7F0F8"/>
        <bgColor indexed="64"/>
      </patternFill>
    </fill>
    <fill>
      <patternFill patternType="solid">
        <fgColor rgb="FFF5F7F6"/>
        <bgColor indexed="64"/>
      </patternFill>
    </fill>
    <fill>
      <patternFill patternType="solid">
        <fgColor rgb="FF2D6F6A"/>
        <bgColor indexed="64"/>
      </patternFill>
    </fill>
    <fill>
      <patternFill patternType="solid">
        <fgColor rgb="FFD9A441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rgb="FFD7DDD9"/>
      </bottom>
      <diagonal/>
    </border>
    <border>
      <left/>
      <right/>
      <top style="thin">
        <color rgb="FFD7DDD9"/>
      </top>
      <bottom style="thin">
        <color rgb="FFD7DDD9"/>
      </bottom>
      <diagonal/>
    </border>
    <border>
      <left/>
      <right/>
      <top style="thin">
        <color rgb="FFD7DDD9"/>
      </top>
      <bottom/>
      <diagonal/>
    </border>
  </borders>
  <cellStyleXfs count="2">
    <xf numFmtId="0" fontId="0" fillId="0" borderId="0"/>
    <xf numFmtId="0" fontId="6" fillId="0" borderId="0"/>
  </cellStyleXfs>
  <cellXfs count="40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0" fontId="2" fillId="3" borderId="1" xfId="1" applyFont="1" applyFill="1" applyBorder="1" applyAlignment="1">
      <alignment vertical="center"/>
    </xf>
    <xf numFmtId="0" fontId="2" fillId="0" borderId="1" xfId="1" applyFont="1" applyBorder="1" applyAlignment="1">
      <alignment vertical="center" wrapText="1"/>
    </xf>
    <xf numFmtId="0" fontId="2" fillId="3" borderId="2" xfId="1" applyFont="1" applyFill="1" applyBorder="1" applyAlignment="1">
      <alignment vertical="center"/>
    </xf>
    <xf numFmtId="0" fontId="2" fillId="0" borderId="2" xfId="1" applyFont="1" applyBorder="1" applyAlignment="1">
      <alignment vertical="center" wrapText="1"/>
    </xf>
    <xf numFmtId="0" fontId="2" fillId="3" borderId="3" xfId="1" applyFont="1" applyFill="1" applyBorder="1" applyAlignment="1">
      <alignment vertical="center"/>
    </xf>
    <xf numFmtId="0" fontId="2" fillId="0" borderId="3" xfId="1" applyFont="1" applyBorder="1" applyAlignment="1">
      <alignment vertical="center" wrapText="1"/>
    </xf>
    <xf numFmtId="178" fontId="2" fillId="4" borderId="1" xfId="1" applyNumberFormat="1" applyFont="1" applyFill="1" applyBorder="1" applyAlignment="1">
      <alignment vertical="center"/>
    </xf>
    <xf numFmtId="0" fontId="2" fillId="4" borderId="1" xfId="1" applyFont="1" applyFill="1" applyBorder="1" applyAlignment="1">
      <alignment vertical="center"/>
    </xf>
    <xf numFmtId="0" fontId="2" fillId="3" borderId="1" xfId="1" applyFont="1" applyFill="1" applyBorder="1" applyAlignment="1">
      <alignment vertical="center" wrapText="1"/>
    </xf>
    <xf numFmtId="1" fontId="2" fillId="5" borderId="1" xfId="1" applyNumberFormat="1" applyFont="1" applyFill="1" applyBorder="1" applyAlignment="1">
      <alignment vertical="center"/>
    </xf>
    <xf numFmtId="178" fontId="2" fillId="4" borderId="2" xfId="1" applyNumberFormat="1" applyFont="1" applyFill="1" applyBorder="1" applyAlignment="1">
      <alignment vertical="center"/>
    </xf>
    <xf numFmtId="0" fontId="2" fillId="4" borderId="2" xfId="1" applyFont="1" applyFill="1" applyBorder="1" applyAlignment="1">
      <alignment vertical="center"/>
    </xf>
    <xf numFmtId="0" fontId="2" fillId="3" borderId="2" xfId="1" applyFont="1" applyFill="1" applyBorder="1" applyAlignment="1">
      <alignment vertical="center" wrapText="1"/>
    </xf>
    <xf numFmtId="1" fontId="2" fillId="5" borderId="2" xfId="1" applyNumberFormat="1" applyFont="1" applyFill="1" applyBorder="1" applyAlignment="1">
      <alignment vertical="center"/>
    </xf>
    <xf numFmtId="178" fontId="2" fillId="4" borderId="3" xfId="1" applyNumberFormat="1" applyFont="1" applyFill="1" applyBorder="1" applyAlignment="1">
      <alignment vertical="center"/>
    </xf>
    <xf numFmtId="0" fontId="2" fillId="4" borderId="3" xfId="1" applyFont="1" applyFill="1" applyBorder="1" applyAlignment="1">
      <alignment vertical="center"/>
    </xf>
    <xf numFmtId="0" fontId="2" fillId="3" borderId="3" xfId="1" applyFont="1" applyFill="1" applyBorder="1" applyAlignment="1">
      <alignment vertical="center" wrapText="1"/>
    </xf>
    <xf numFmtId="1" fontId="2" fillId="5" borderId="3" xfId="1" applyNumberFormat="1" applyFont="1" applyFill="1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2" xfId="1" applyFont="1" applyBorder="1" applyAlignment="1">
      <alignment vertical="center"/>
    </xf>
    <xf numFmtId="2" fontId="2" fillId="4" borderId="2" xfId="1" applyNumberFormat="1" applyFont="1" applyFill="1" applyBorder="1" applyAlignment="1">
      <alignment vertical="center"/>
    </xf>
    <xf numFmtId="0" fontId="2" fillId="0" borderId="3" xfId="1" applyFont="1" applyBorder="1" applyAlignment="1">
      <alignment vertical="center"/>
    </xf>
    <xf numFmtId="2" fontId="2" fillId="4" borderId="3" xfId="1" applyNumberFormat="1" applyFont="1" applyFill="1" applyBorder="1" applyAlignment="1">
      <alignment vertical="center"/>
    </xf>
    <xf numFmtId="178" fontId="2" fillId="5" borderId="1" xfId="1" applyNumberFormat="1" applyFont="1" applyFill="1" applyBorder="1" applyAlignment="1">
      <alignment vertical="center"/>
    </xf>
    <xf numFmtId="2" fontId="2" fillId="5" borderId="1" xfId="1" applyNumberFormat="1" applyFont="1" applyFill="1" applyBorder="1" applyAlignment="1">
      <alignment vertical="center"/>
    </xf>
    <xf numFmtId="178" fontId="2" fillId="5" borderId="2" xfId="1" applyNumberFormat="1" applyFont="1" applyFill="1" applyBorder="1" applyAlignment="1">
      <alignment vertical="center"/>
    </xf>
    <xf numFmtId="2" fontId="2" fillId="5" borderId="2" xfId="1" applyNumberFormat="1" applyFont="1" applyFill="1" applyBorder="1" applyAlignment="1">
      <alignment vertical="center"/>
    </xf>
    <xf numFmtId="2" fontId="2" fillId="5" borderId="3" xfId="1" applyNumberFormat="1" applyFont="1" applyFill="1" applyBorder="1" applyAlignment="1">
      <alignment vertical="center"/>
    </xf>
    <xf numFmtId="178" fontId="2" fillId="5" borderId="3" xfId="1" applyNumberFormat="1" applyFont="1" applyFill="1" applyBorder="1" applyAlignment="1">
      <alignment vertical="center"/>
    </xf>
    <xf numFmtId="0" fontId="2" fillId="5" borderId="1" xfId="1" applyFont="1" applyFill="1" applyBorder="1" applyAlignment="1">
      <alignment vertical="center"/>
    </xf>
    <xf numFmtId="0" fontId="5" fillId="3" borderId="0" xfId="1" applyFont="1" applyFill="1" applyAlignment="1">
      <alignment vertical="center"/>
    </xf>
    <xf numFmtId="0" fontId="2" fillId="5" borderId="2" xfId="1" applyFont="1" applyFill="1" applyBorder="1" applyAlignment="1">
      <alignment vertical="center"/>
    </xf>
    <xf numFmtId="0" fontId="2" fillId="5" borderId="3" xfId="1" applyFont="1" applyFill="1" applyBorder="1" applyAlignment="1">
      <alignment vertical="center"/>
    </xf>
    <xf numFmtId="0" fontId="5" fillId="8" borderId="0" xfId="1" applyFont="1" applyFill="1" applyAlignment="1">
      <alignment horizontal="center" vertical="center"/>
    </xf>
    <xf numFmtId="0" fontId="3" fillId="2" borderId="0" xfId="1" applyFont="1" applyFill="1" applyAlignment="1">
      <alignment vertical="center"/>
    </xf>
    <xf numFmtId="0" fontId="4" fillId="7" borderId="0" xfId="1" applyFont="1" applyFill="1" applyAlignment="1">
      <alignment vertical="center"/>
    </xf>
    <xf numFmtId="0" fontId="1" fillId="2" borderId="0" xfId="1" applyFont="1" applyFill="1" applyAlignment="1">
      <alignment horizontal="center" vertical="center" wrapText="1"/>
    </xf>
    <xf numFmtId="0" fontId="2" fillId="6" borderId="0" xfId="1" applyFont="1" applyFill="1" applyAlignment="1">
      <alignment vertical="center" wrapText="1"/>
    </xf>
  </cellXfs>
  <cellStyles count="2">
    <cellStyle name="Normal" xfId="1" xr:uid="{00000000-0005-0000-0000-00003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基准胃口随时间增长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基准胃口</c:v>
          </c:tx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D578-4AAB-A341-8C627FDEA8FB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D578-4AAB-A341-8C627FDEA8FB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2-D578-4AAB-A341-8C627FDEA8FB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03-D578-4AAB-A341-8C627FDEA8FB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04-D578-4AAB-A341-8C627FDEA8FB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05-D578-4AAB-A341-8C627FDEA8FB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06-D578-4AAB-A341-8C627FDEA8FB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07-D578-4AAB-A341-8C627FDEA8FB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08-D578-4AAB-A341-8C627FDEA8FB}"/>
              </c:ext>
            </c:extLst>
          </c:dPt>
          <c:dPt>
            <c:idx val="9"/>
            <c:bubble3D val="0"/>
            <c:extLst>
              <c:ext xmlns:c16="http://schemas.microsoft.com/office/drawing/2014/chart" uri="{C3380CC4-5D6E-409C-BE32-E72D297353CC}">
                <c16:uniqueId val="{00000009-D578-4AAB-A341-8C627FDEA8FB}"/>
              </c:ext>
            </c:extLst>
          </c:dPt>
          <c:cat>
            <c:numRef>
              <c:f>时间轴预览!$H$6:$H$15</c:f>
              <c:numCache>
                <c:formatCode>0.0</c:formatCode>
                <c:ptCount val="10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</c:numCache>
            </c:numRef>
          </c:cat>
          <c:val>
            <c:numRef>
              <c:f>时间轴预览!$I$6:$I$15</c:f>
              <c:numCache>
                <c:formatCode>0</c:formatCode>
                <c:ptCount val="10"/>
                <c:pt idx="0">
                  <c:v>15</c:v>
                </c:pt>
                <c:pt idx="1">
                  <c:v>18</c:v>
                </c:pt>
                <c:pt idx="2">
                  <c:v>29</c:v>
                </c:pt>
                <c:pt idx="3">
                  <c:v>48</c:v>
                </c:pt>
                <c:pt idx="4">
                  <c:v>76</c:v>
                </c:pt>
                <c:pt idx="5">
                  <c:v>112</c:v>
                </c:pt>
                <c:pt idx="6">
                  <c:v>158</c:v>
                </c:pt>
                <c:pt idx="7">
                  <c:v>213</c:v>
                </c:pt>
                <c:pt idx="8">
                  <c:v>277</c:v>
                </c:pt>
                <c:pt idx="9">
                  <c:v>350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D578-4AAB-A341-8C627FDEA8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时间（秒）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基准胃口</a:t>
                </a:r>
              </a:p>
            </c:rich>
          </c:tx>
          <c:overlay val="1"/>
        </c:title>
        <c:numFmt formatCode="0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  <c:extLst>
      <c:ext uri="{0b15fc19-7d7d-44ad-8c2d-2c3a37ce22c3}">
        <chartProps xmlns="https://web.wps.cn/et/2018/main" chartId="{820bf882-ab9c-443d-ad3c-c572de86ced5}"/>
      </c:ext>
    </c:extLst>
  </c:chart>
  <c:spPr>
    <a:ln w="9525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</xdr:row>
      <xdr:rowOff>0</xdr:rowOff>
    </xdr:from>
    <xdr:to>
      <xdr:col>17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imelineConfigTable" displayName="TimelineConfigTable" ref="A1:E7" totalsRowShown="0">
  <tableColumns count="5">
    <tableColumn id="1" xr3:uid="{00000000-0010-0000-0000-000001000000}" name="参数ID"/>
    <tableColumn id="2" xr3:uid="{00000000-0010-0000-0000-000002000000}" name="数值"/>
    <tableColumn id="3" xr3:uid="{00000000-0010-0000-0000-000003000000}" name="说明"/>
    <tableColumn id="4" xr3:uid="{00000000-0010-0000-0000-000004000000}" name="对游戏的影响"/>
    <tableColumn id="5" xr3:uid="{00000000-0010-0000-0000-000005000000}" name="修改建议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imelineEventsTable" displayName="TimelineEventsTable" ref="A1:N16" totalsRowShown="0">
  <tableColumns count="14">
    <tableColumn id="1" xr3:uid="{00000000-0010-0000-0100-000001000000}" name="请求时间(s)"/>
    <tableColumn id="2" xr3:uid="{00000000-0010-0000-0100-000002000000}" name="事件ID"/>
    <tableColumn id="3" xr3:uid="{00000000-0010-0000-0100-000003000000}" name="类型"/>
    <tableColumn id="4" xr3:uid="{00000000-0010-0000-0100-000004000000}" name="说明"/>
    <tableColumn id="5" xr3:uid="{00000000-0010-0000-0100-000005000000}" name="基准胃口">
      <calculatedColumnFormula>ROUND(配置!$B$4+(配置!$B$5-配置!$B$4)*POWER(MIN(MAX(A2/配置!$B$6,0),1),配置!$B$7),0)</calculatedColumnFormula>
    </tableColumn>
    <tableColumn id="6" xr3:uid="{00000000-0010-0000-0100-000006000000}" name="普通p0">
      <calculatedColumnFormula>ROUND(E2,0)</calculatedColumnFormula>
    </tableColumn>
    <tableColumn id="7" xr3:uid="{00000000-0010-0000-0100-000007000000}" name="普通p1">
      <calculatedColumnFormula>ROUND(E2*2,0)</calculatedColumnFormula>
    </tableColumn>
    <tableColumn id="8" xr3:uid="{00000000-0010-0000-0100-000008000000}" name="快速p0">
      <calculatedColumnFormula>ROUND(E2*0.75,0)</calculatedColumnFormula>
    </tableColumn>
    <tableColumn id="9" xr3:uid="{00000000-0010-0000-0100-000009000000}" name="快速p1">
      <calculatedColumnFormula>ROUND(E2*1.5,0)</calculatedColumnFormula>
    </tableColumn>
    <tableColumn id="10" xr3:uid="{00000000-0010-0000-0100-00000A000000}" name="远程p0">
      <calculatedColumnFormula>ROUND(E2*1.5,0)</calculatedColumnFormula>
    </tableColumn>
    <tableColumn id="11" xr3:uid="{00000000-0010-0000-0100-00000B000000}" name="远程p1">
      <calculatedColumnFormula>ROUND(E2*3,0)</calculatedColumnFormula>
    </tableColumn>
    <tableColumn id="12" xr3:uid="{00000000-0010-0000-0100-00000C000000}" name="精英胃口">
      <calculatedColumnFormula>ROUND(E2*5.625,0)</calculatedColumnFormula>
    </tableColumn>
    <tableColumn id="13" xr3:uid="{00000000-0010-0000-0100-00000D000000}" name="门基础最低">
      <calculatedColumnFormula>ROUND(E2,0)</calculatedColumnFormula>
    </tableColumn>
    <tableColumn id="14" xr3:uid="{00000000-0010-0000-0100-00000E000000}" name="门基础最高">
      <calculatedColumnFormula>ROUND(E2*2,0)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imelineNotesTable" displayName="TimelineNotesTable" ref="A1:B10" totalsRowShown="0">
  <tableColumns count="2">
    <tableColumn id="1" xr3:uid="{00000000-0010-0000-0200-000001000000}" name="项目"/>
    <tableColumn id="2" xr3:uid="{00000000-0010-0000-0200-000002000000}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2"/>
  <sheetViews>
    <sheetView showGridLines="0" topLeftCell="F1" workbookViewId="0">
      <selection activeCell="B7" sqref="B7"/>
    </sheetView>
  </sheetViews>
  <sheetFormatPr defaultColWidth="9" defaultRowHeight="14.4"/>
  <cols>
    <col min="1" max="1" width="16" customWidth="1"/>
    <col min="2" max="2" width="23" customWidth="1"/>
    <col min="3" max="3" width="16" customWidth="1"/>
    <col min="4" max="4" width="15" customWidth="1"/>
    <col min="5" max="8" width="14" customWidth="1"/>
    <col min="9" max="9" width="17" customWidth="1"/>
    <col min="10" max="10" width="16" customWidth="1"/>
    <col min="11" max="17" width="13" customWidth="1"/>
  </cols>
  <sheetData>
    <row r="1" spans="1:17" ht="37.950000000000003" customHeight="1">
      <c r="A1" s="36" t="s">
        <v>0</v>
      </c>
      <c r="B1" s="36" t="s">
        <v>0</v>
      </c>
      <c r="C1" s="36" t="s">
        <v>0</v>
      </c>
      <c r="D1" s="36" t="s">
        <v>0</v>
      </c>
      <c r="E1" s="36" t="s">
        <v>0</v>
      </c>
      <c r="F1" s="36" t="s">
        <v>0</v>
      </c>
      <c r="G1" s="36" t="s">
        <v>0</v>
      </c>
      <c r="H1" s="36" t="s">
        <v>0</v>
      </c>
      <c r="I1" s="36" t="s">
        <v>0</v>
      </c>
      <c r="J1" s="36" t="s">
        <v>0</v>
      </c>
      <c r="K1" s="36" t="s">
        <v>0</v>
      </c>
      <c r="L1" s="36" t="s">
        <v>0</v>
      </c>
      <c r="M1" s="36" t="s">
        <v>0</v>
      </c>
      <c r="N1" s="36" t="s">
        <v>0</v>
      </c>
      <c r="O1" s="36" t="s">
        <v>0</v>
      </c>
      <c r="P1" s="36" t="s">
        <v>0</v>
      </c>
      <c r="Q1" s="36" t="s">
        <v>0</v>
      </c>
    </row>
    <row r="2" spans="1:17" ht="24" customHeight="1">
      <c r="A2" s="39" t="s">
        <v>1</v>
      </c>
      <c r="B2" s="39" t="s">
        <v>1</v>
      </c>
      <c r="C2" s="39" t="s">
        <v>1</v>
      </c>
      <c r="D2" s="39" t="s">
        <v>1</v>
      </c>
      <c r="E2" s="39" t="s">
        <v>1</v>
      </c>
      <c r="F2" s="39" t="s">
        <v>1</v>
      </c>
      <c r="G2" s="39" t="s">
        <v>1</v>
      </c>
      <c r="H2" s="39" t="s">
        <v>1</v>
      </c>
      <c r="I2" s="39" t="s">
        <v>1</v>
      </c>
      <c r="J2" s="39" t="s">
        <v>1</v>
      </c>
      <c r="K2" s="39" t="s">
        <v>1</v>
      </c>
      <c r="L2" s="39" t="s">
        <v>1</v>
      </c>
      <c r="M2" s="39" t="s">
        <v>1</v>
      </c>
      <c r="N2" s="39" t="s">
        <v>1</v>
      </c>
      <c r="O2" s="39" t="s">
        <v>1</v>
      </c>
      <c r="P2" s="39" t="s">
        <v>1</v>
      </c>
      <c r="Q2" s="39" t="s">
        <v>1</v>
      </c>
    </row>
    <row r="3" spans="1:17" ht="24" customHeight="1">
      <c r="A3" s="39" t="s">
        <v>1</v>
      </c>
      <c r="B3" s="39" t="s">
        <v>1</v>
      </c>
      <c r="C3" s="39" t="s">
        <v>1</v>
      </c>
      <c r="D3" s="39" t="s">
        <v>1</v>
      </c>
      <c r="E3" s="39" t="s">
        <v>1</v>
      </c>
      <c r="F3" s="39" t="s">
        <v>1</v>
      </c>
      <c r="G3" s="39" t="s">
        <v>1</v>
      </c>
      <c r="H3" s="39" t="s">
        <v>1</v>
      </c>
      <c r="I3" s="39" t="s">
        <v>1</v>
      </c>
      <c r="J3" s="39" t="s">
        <v>1</v>
      </c>
      <c r="K3" s="39" t="s">
        <v>1</v>
      </c>
      <c r="L3" s="39" t="s">
        <v>1</v>
      </c>
      <c r="M3" s="39" t="s">
        <v>1</v>
      </c>
      <c r="N3" s="39" t="s">
        <v>1</v>
      </c>
      <c r="O3" s="39" t="s">
        <v>1</v>
      </c>
      <c r="P3" s="39" t="s">
        <v>1</v>
      </c>
      <c r="Q3" s="39" t="s">
        <v>1</v>
      </c>
    </row>
    <row r="5" spans="1:17" ht="30" customHeight="1">
      <c r="A5" s="37" t="s">
        <v>2</v>
      </c>
      <c r="B5" s="37" t="s">
        <v>2</v>
      </c>
      <c r="C5" s="37" t="s">
        <v>2</v>
      </c>
      <c r="D5" s="37" t="s">
        <v>2</v>
      </c>
      <c r="E5" s="37" t="s">
        <v>2</v>
      </c>
      <c r="F5" s="37" t="s">
        <v>2</v>
      </c>
      <c r="H5" s="1" t="s">
        <v>3</v>
      </c>
      <c r="I5" s="1" t="s">
        <v>4</v>
      </c>
    </row>
    <row r="6" spans="1:17" ht="30" customHeight="1">
      <c r="A6" s="1" t="s">
        <v>5</v>
      </c>
      <c r="B6" s="1" t="s">
        <v>6</v>
      </c>
      <c r="D6" s="1" t="s">
        <v>7</v>
      </c>
      <c r="E6" s="1" t="s">
        <v>6</v>
      </c>
      <c r="H6" s="25">
        <f>配置!$B$6*0/9</f>
        <v>0</v>
      </c>
      <c r="I6" s="11">
        <f>ROUND(配置!$B$4+(配置!$B$5-配置!$B$4)*POWER(MIN(MAX(H6/配置!$B$6,0),1),配置!$B$7),0)</f>
        <v>15</v>
      </c>
    </row>
    <row r="7" spans="1:17" ht="15">
      <c r="A7" s="20" t="s">
        <v>8</v>
      </c>
      <c r="B7" s="26">
        <f>配置!B4</f>
        <v>15</v>
      </c>
      <c r="D7" s="20" t="s">
        <v>9</v>
      </c>
      <c r="E7" s="25">
        <f>COUNTA(事件!B2:B100)</f>
        <v>15</v>
      </c>
      <c r="H7" s="27">
        <f>配置!$B$6*1/9</f>
        <v>15</v>
      </c>
      <c r="I7" s="15">
        <f>ROUND(配置!$B$4+(配置!$B$5-配置!$B$4)*POWER(MIN(MAX(H7/配置!$B$6,0),1),配置!$B$7),0)</f>
        <v>18</v>
      </c>
    </row>
    <row r="8" spans="1:17" ht="15">
      <c r="A8" s="21" t="s">
        <v>10</v>
      </c>
      <c r="B8" s="28">
        <f>配置!B5</f>
        <v>350</v>
      </c>
      <c r="D8" s="21" t="s">
        <v>11</v>
      </c>
      <c r="E8" s="27">
        <f>COUNTIF(事件!C2:C100,"普通强化门")</f>
        <v>12</v>
      </c>
      <c r="H8" s="27">
        <f>配置!$B$6*2/9</f>
        <v>30</v>
      </c>
      <c r="I8" s="15">
        <f>ROUND(配置!$B$4+(配置!$B$5-配置!$B$4)*POWER(MIN(MAX(H8/配置!$B$6,0),1),配置!$B$7),0)</f>
        <v>29</v>
      </c>
    </row>
    <row r="9" spans="1:17" ht="15">
      <c r="A9" s="21" t="s">
        <v>12</v>
      </c>
      <c r="B9" s="28">
        <f>配置!B6</f>
        <v>135</v>
      </c>
      <c r="D9" s="21" t="s">
        <v>13</v>
      </c>
      <c r="E9" s="27">
        <f>SUMIF(事件!B2:B100,"elite",事件!A2:A100)</f>
        <v>80</v>
      </c>
      <c r="H9" s="27">
        <f>配置!$B$6*3/9</f>
        <v>45</v>
      </c>
      <c r="I9" s="15">
        <f>ROUND(配置!$B$4+(配置!$B$5-配置!$B$4)*POWER(MIN(MAX(H9/配置!$B$6,0),1),配置!$B$7),0)</f>
        <v>48</v>
      </c>
    </row>
    <row r="10" spans="1:17" ht="15">
      <c r="A10" s="23" t="s">
        <v>14</v>
      </c>
      <c r="B10" s="29">
        <f>配置!B7</f>
        <v>2.1</v>
      </c>
      <c r="D10" s="23" t="s">
        <v>15</v>
      </c>
      <c r="E10" s="30">
        <f>SUMIF(事件!B2:B100,"boss",事件!A2:A100)</f>
        <v>135</v>
      </c>
      <c r="H10" s="27">
        <f>配置!$B$6*4/9</f>
        <v>60</v>
      </c>
      <c r="I10" s="15">
        <f>ROUND(配置!$B$4+(配置!$B$5-配置!$B$4)*POWER(MIN(MAX(H10/配置!$B$6,0),1),配置!$B$7),0)</f>
        <v>76</v>
      </c>
    </row>
    <row r="11" spans="1:17" ht="15">
      <c r="H11" s="27">
        <f>配置!$B$6*5/9</f>
        <v>75</v>
      </c>
      <c r="I11" s="15">
        <f>ROUND(配置!$B$4+(配置!$B$5-配置!$B$4)*POWER(MIN(MAX(H11/配置!$B$6,0),1),配置!$B$7),0)</f>
        <v>112</v>
      </c>
    </row>
    <row r="12" spans="1:17" ht="15">
      <c r="H12" s="27">
        <f>配置!$B$6*6/9</f>
        <v>90</v>
      </c>
      <c r="I12" s="15">
        <f>ROUND(配置!$B$4+(配置!$B$5-配置!$B$4)*POWER(MIN(MAX(H12/配置!$B$6,0),1),配置!$B$7),0)</f>
        <v>158</v>
      </c>
    </row>
    <row r="13" spans="1:17" ht="15">
      <c r="H13" s="27">
        <f>配置!$B$6*7/9</f>
        <v>105</v>
      </c>
      <c r="I13" s="15">
        <f>ROUND(配置!$B$4+(配置!$B$5-配置!$B$4)*POWER(MIN(MAX(H13/配置!$B$6,0),1),配置!$B$7),0)</f>
        <v>213</v>
      </c>
    </row>
    <row r="14" spans="1:17" ht="15">
      <c r="H14" s="27">
        <f>配置!$B$6*8/9</f>
        <v>120</v>
      </c>
      <c r="I14" s="15">
        <f>ROUND(配置!$B$4+(配置!$B$5-配置!$B$4)*POWER(MIN(MAX(H14/配置!$B$6,0),1),配置!$B$7),0)</f>
        <v>277</v>
      </c>
    </row>
    <row r="15" spans="1:17" ht="15">
      <c r="H15" s="30">
        <f>配置!$B$6*9/9</f>
        <v>135</v>
      </c>
      <c r="I15" s="19">
        <f>ROUND(配置!$B$4+(配置!$B$5-配置!$B$4)*POWER(MIN(MAX(H15/配置!$B$6,0),1),配置!$B$7),0)</f>
        <v>350</v>
      </c>
    </row>
    <row r="20" spans="1:17" ht="28.05" customHeight="1">
      <c r="A20" s="37" t="s">
        <v>16</v>
      </c>
      <c r="B20" s="37" t="s">
        <v>16</v>
      </c>
      <c r="C20" s="37" t="s">
        <v>16</v>
      </c>
      <c r="D20" s="37" t="s">
        <v>16</v>
      </c>
      <c r="E20" s="37" t="s">
        <v>16</v>
      </c>
      <c r="F20" s="37" t="s">
        <v>16</v>
      </c>
      <c r="G20" s="37" t="s">
        <v>16</v>
      </c>
      <c r="H20" s="37" t="s">
        <v>16</v>
      </c>
      <c r="I20" s="37" t="s">
        <v>16</v>
      </c>
      <c r="J20" s="37" t="s">
        <v>16</v>
      </c>
      <c r="K20" s="37" t="s">
        <v>16</v>
      </c>
      <c r="L20" s="37" t="s">
        <v>16</v>
      </c>
      <c r="M20" s="37" t="s">
        <v>16</v>
      </c>
      <c r="N20" s="37" t="s">
        <v>16</v>
      </c>
      <c r="O20" s="37" t="s">
        <v>16</v>
      </c>
      <c r="P20" s="37" t="s">
        <v>16</v>
      </c>
      <c r="Q20" s="37" t="s">
        <v>16</v>
      </c>
    </row>
    <row r="21" spans="1:17" ht="30" customHeight="1">
      <c r="A21" s="1" t="s">
        <v>17</v>
      </c>
      <c r="B21" s="1" t="s">
        <v>18</v>
      </c>
      <c r="C21" s="1" t="s">
        <v>19</v>
      </c>
      <c r="D21" s="1" t="s">
        <v>4</v>
      </c>
      <c r="E21" s="1" t="s">
        <v>20</v>
      </c>
      <c r="F21" s="1" t="s">
        <v>21</v>
      </c>
      <c r="G21" s="1" t="s">
        <v>22</v>
      </c>
      <c r="H21" s="1" t="s">
        <v>23</v>
      </c>
      <c r="I21" s="1" t="s">
        <v>24</v>
      </c>
      <c r="J21" s="38" t="s">
        <v>25</v>
      </c>
      <c r="K21" s="38" t="s">
        <v>25</v>
      </c>
      <c r="L21" s="38" t="s">
        <v>25</v>
      </c>
      <c r="M21" s="38" t="s">
        <v>25</v>
      </c>
      <c r="N21" s="38" t="s">
        <v>25</v>
      </c>
      <c r="O21" s="38" t="s">
        <v>25</v>
      </c>
      <c r="P21" s="38" t="s">
        <v>25</v>
      </c>
      <c r="Q21" s="38" t="s">
        <v>25</v>
      </c>
    </row>
    <row r="22" spans="1:17" ht="34.049999999999997" customHeight="1">
      <c r="A22" s="25">
        <f>事件!A2</f>
        <v>2</v>
      </c>
      <c r="B22" s="31" t="str">
        <f>事件!B2</f>
        <v>start_gate</v>
      </c>
      <c r="C22" s="31" t="str">
        <f>事件!C2</f>
        <v>开局食材门</v>
      </c>
      <c r="D22" s="11">
        <f>事件!E2</f>
        <v>15</v>
      </c>
      <c r="E22" s="11">
        <f>事件!F2</f>
        <v>15</v>
      </c>
      <c r="F22" s="11">
        <f>事件!G2</f>
        <v>30</v>
      </c>
      <c r="G22" s="11">
        <f>事件!H2</f>
        <v>11</v>
      </c>
      <c r="H22" s="11">
        <f>事件!K2</f>
        <v>45</v>
      </c>
      <c r="I22" s="31" t="str">
        <f>TEXT(事件!M2,"0")&amp;"–"&amp;TEXT(事件!N2,"0")</f>
        <v>15–30</v>
      </c>
      <c r="J22" s="32" t="s">
        <v>8</v>
      </c>
      <c r="K22" s="39" t="s">
        <v>26</v>
      </c>
      <c r="L22" s="39"/>
      <c r="M22" s="39"/>
      <c r="N22" s="39"/>
      <c r="O22" s="39"/>
      <c r="P22" s="39"/>
      <c r="Q22" s="39"/>
    </row>
    <row r="23" spans="1:17" ht="34.049999999999997" customHeight="1">
      <c r="A23" s="27">
        <f>事件!A3</f>
        <v>18</v>
      </c>
      <c r="B23" s="33" t="str">
        <f>事件!B3</f>
        <v>gate_0</v>
      </c>
      <c r="C23" s="33" t="str">
        <f>事件!C3</f>
        <v>普通强化门</v>
      </c>
      <c r="D23" s="15">
        <f>事件!E3</f>
        <v>20</v>
      </c>
      <c r="E23" s="15">
        <f>事件!F3</f>
        <v>20</v>
      </c>
      <c r="F23" s="15">
        <f>事件!G3</f>
        <v>40</v>
      </c>
      <c r="G23" s="15">
        <f>事件!H3</f>
        <v>15</v>
      </c>
      <c r="H23" s="15">
        <f>事件!K3</f>
        <v>60</v>
      </c>
      <c r="I23" s="33" t="str">
        <f>TEXT(事件!M3,"0")&amp;"–"&amp;TEXT(事件!N3,"0")</f>
        <v>20–40</v>
      </c>
      <c r="J23" s="32" t="s">
        <v>10</v>
      </c>
      <c r="K23" s="39" t="s">
        <v>27</v>
      </c>
      <c r="L23" s="39"/>
      <c r="M23" s="39"/>
      <c r="N23" s="39"/>
      <c r="O23" s="39"/>
      <c r="P23" s="39"/>
      <c r="Q23" s="39"/>
    </row>
    <row r="24" spans="1:17" ht="34.049999999999997" customHeight="1">
      <c r="A24" s="27">
        <f>事件!A4</f>
        <v>27</v>
      </c>
      <c r="B24" s="33" t="str">
        <f>事件!B4</f>
        <v>gate_1</v>
      </c>
      <c r="C24" s="33" t="str">
        <f>事件!C4</f>
        <v>普通强化门</v>
      </c>
      <c r="D24" s="15">
        <f>事件!E4</f>
        <v>26</v>
      </c>
      <c r="E24" s="15">
        <f>事件!F4</f>
        <v>26</v>
      </c>
      <c r="F24" s="15">
        <f>事件!G4</f>
        <v>52</v>
      </c>
      <c r="G24" s="15">
        <f>事件!H4</f>
        <v>20</v>
      </c>
      <c r="H24" s="15">
        <f>事件!K4</f>
        <v>78</v>
      </c>
      <c r="I24" s="33" t="str">
        <f>TEXT(事件!M4,"0")&amp;"–"&amp;TEXT(事件!N4,"0")</f>
        <v>26–52</v>
      </c>
      <c r="J24" s="32" t="s">
        <v>28</v>
      </c>
      <c r="K24" s="39" t="s">
        <v>29</v>
      </c>
      <c r="L24" s="39"/>
      <c r="M24" s="39"/>
      <c r="N24" s="39"/>
      <c r="O24" s="39"/>
      <c r="P24" s="39"/>
      <c r="Q24" s="39"/>
    </row>
    <row r="25" spans="1:17" ht="34.049999999999997" customHeight="1">
      <c r="A25" s="27">
        <f>事件!A5</f>
        <v>39</v>
      </c>
      <c r="B25" s="33" t="str">
        <f>事件!B5</f>
        <v>gate_2</v>
      </c>
      <c r="C25" s="33" t="str">
        <f>事件!C5</f>
        <v>普通强化门</v>
      </c>
      <c r="D25" s="15">
        <f>事件!E5</f>
        <v>40</v>
      </c>
      <c r="E25" s="15">
        <f>事件!F5</f>
        <v>40</v>
      </c>
      <c r="F25" s="15">
        <f>事件!G5</f>
        <v>80</v>
      </c>
      <c r="G25" s="15">
        <f>事件!H5</f>
        <v>30</v>
      </c>
      <c r="H25" s="15">
        <f>事件!K5</f>
        <v>120</v>
      </c>
      <c r="I25" s="33" t="str">
        <f>TEXT(事件!M5,"0")&amp;"–"&amp;TEXT(事件!N5,"0")</f>
        <v>40–80</v>
      </c>
      <c r="J25" s="32" t="s">
        <v>14</v>
      </c>
      <c r="K25" s="39" t="s">
        <v>30</v>
      </c>
      <c r="L25" s="39"/>
      <c r="M25" s="39"/>
      <c r="N25" s="39"/>
      <c r="O25" s="39"/>
      <c r="P25" s="39"/>
      <c r="Q25" s="39"/>
    </row>
    <row r="26" spans="1:17" ht="34.049999999999997" customHeight="1">
      <c r="A26" s="27">
        <f>事件!A6</f>
        <v>50</v>
      </c>
      <c r="B26" s="33" t="str">
        <f>事件!B6</f>
        <v>gate_3</v>
      </c>
      <c r="C26" s="33" t="str">
        <f>事件!C6</f>
        <v>普通强化门</v>
      </c>
      <c r="D26" s="15">
        <f>事件!E6</f>
        <v>57</v>
      </c>
      <c r="E26" s="15">
        <f>事件!F6</f>
        <v>57</v>
      </c>
      <c r="F26" s="15">
        <f>事件!G6</f>
        <v>114</v>
      </c>
      <c r="G26" s="15">
        <f>事件!H6</f>
        <v>43</v>
      </c>
      <c r="H26" s="15">
        <f>事件!K6</f>
        <v>171</v>
      </c>
      <c r="I26" s="33" t="str">
        <f>TEXT(事件!M6,"0")&amp;"–"&amp;TEXT(事件!N6,"0")</f>
        <v>57–114</v>
      </c>
      <c r="J26" s="32" t="s">
        <v>31</v>
      </c>
      <c r="K26" s="39" t="s">
        <v>32</v>
      </c>
      <c r="L26" s="39"/>
      <c r="M26" s="39"/>
      <c r="N26" s="39"/>
      <c r="O26" s="39"/>
      <c r="P26" s="39"/>
      <c r="Q26" s="39"/>
    </row>
    <row r="27" spans="1:17" ht="34.049999999999997" customHeight="1">
      <c r="A27" s="27">
        <f>事件!A7</f>
        <v>62</v>
      </c>
      <c r="B27" s="33" t="str">
        <f>事件!B7</f>
        <v>gate_4</v>
      </c>
      <c r="C27" s="33" t="str">
        <f>事件!C7</f>
        <v>普通强化门</v>
      </c>
      <c r="D27" s="15">
        <f>事件!E7</f>
        <v>80</v>
      </c>
      <c r="E27" s="15">
        <f>事件!F7</f>
        <v>80</v>
      </c>
      <c r="F27" s="15">
        <f>事件!G7</f>
        <v>160</v>
      </c>
      <c r="G27" s="15">
        <f>事件!H7</f>
        <v>60</v>
      </c>
      <c r="H27" s="15">
        <f>事件!K7</f>
        <v>240</v>
      </c>
      <c r="I27" s="33" t="str">
        <f>TEXT(事件!M7,"0")&amp;"–"&amp;TEXT(事件!N7,"0")</f>
        <v>80–160</v>
      </c>
      <c r="J27" s="32" t="s">
        <v>33</v>
      </c>
      <c r="K27" s="39" t="s">
        <v>34</v>
      </c>
      <c r="L27" s="39"/>
      <c r="M27" s="39"/>
      <c r="N27" s="39"/>
      <c r="O27" s="39"/>
      <c r="P27" s="39"/>
      <c r="Q27" s="39"/>
    </row>
    <row r="28" spans="1:17" ht="15">
      <c r="A28" s="27">
        <f>事件!A8</f>
        <v>74</v>
      </c>
      <c r="B28" s="33" t="str">
        <f>事件!B8</f>
        <v>gate_5</v>
      </c>
      <c r="C28" s="33" t="str">
        <f>事件!C8</f>
        <v>普通强化门</v>
      </c>
      <c r="D28" s="15">
        <f>事件!E8</f>
        <v>110</v>
      </c>
      <c r="E28" s="15">
        <f>事件!F8</f>
        <v>110</v>
      </c>
      <c r="F28" s="15">
        <f>事件!G8</f>
        <v>220</v>
      </c>
      <c r="G28" s="15">
        <f>事件!H8</f>
        <v>83</v>
      </c>
      <c r="H28" s="15">
        <f>事件!K8</f>
        <v>330</v>
      </c>
      <c r="I28" s="33" t="str">
        <f>TEXT(事件!M8,"0")&amp;"–"&amp;TEXT(事件!N8,"0")</f>
        <v>110–220</v>
      </c>
    </row>
    <row r="29" spans="1:17" ht="15">
      <c r="A29" s="27">
        <f>事件!A9</f>
        <v>80</v>
      </c>
      <c r="B29" s="33" t="str">
        <f>事件!B9</f>
        <v>elite</v>
      </c>
      <c r="C29" s="33" t="str">
        <f>事件!C9</f>
        <v>精英</v>
      </c>
      <c r="D29" s="15">
        <f>事件!E9</f>
        <v>127</v>
      </c>
      <c r="E29" s="15">
        <f>事件!F9</f>
        <v>127</v>
      </c>
      <c r="F29" s="15">
        <f>事件!G9</f>
        <v>254</v>
      </c>
      <c r="G29" s="15">
        <f>事件!H9</f>
        <v>95</v>
      </c>
      <c r="H29" s="15">
        <f>事件!K9</f>
        <v>381</v>
      </c>
      <c r="I29" s="33" t="str">
        <f>TEXT(事件!M9,"0")&amp;"–"&amp;TEXT(事件!N9,"0")</f>
        <v>127–254</v>
      </c>
    </row>
    <row r="30" spans="1:17" ht="15">
      <c r="A30" s="27">
        <f>事件!A10</f>
        <v>86</v>
      </c>
      <c r="B30" s="33" t="str">
        <f>事件!B10</f>
        <v>gate_6</v>
      </c>
      <c r="C30" s="33" t="str">
        <f>事件!C10</f>
        <v>普通强化门</v>
      </c>
      <c r="D30" s="15">
        <f>事件!E10</f>
        <v>145</v>
      </c>
      <c r="E30" s="15">
        <f>事件!F10</f>
        <v>145</v>
      </c>
      <c r="F30" s="15">
        <f>事件!G10</f>
        <v>290</v>
      </c>
      <c r="G30" s="15">
        <f>事件!H10</f>
        <v>109</v>
      </c>
      <c r="H30" s="15">
        <f>事件!K10</f>
        <v>435</v>
      </c>
      <c r="I30" s="33" t="str">
        <f>TEXT(事件!M10,"0")&amp;"–"&amp;TEXT(事件!N10,"0")</f>
        <v>145–290</v>
      </c>
    </row>
    <row r="31" spans="1:17" ht="15">
      <c r="A31" s="27">
        <f>事件!A11</f>
        <v>94</v>
      </c>
      <c r="B31" s="33" t="str">
        <f>事件!B11</f>
        <v>gate_7</v>
      </c>
      <c r="C31" s="33" t="str">
        <f>事件!C11</f>
        <v>普通强化门</v>
      </c>
      <c r="D31" s="15">
        <f>事件!E11</f>
        <v>172</v>
      </c>
      <c r="E31" s="15">
        <f>事件!F11</f>
        <v>172</v>
      </c>
      <c r="F31" s="15">
        <f>事件!G11</f>
        <v>344</v>
      </c>
      <c r="G31" s="15">
        <f>事件!H11</f>
        <v>129</v>
      </c>
      <c r="H31" s="15">
        <f>事件!K11</f>
        <v>516</v>
      </c>
      <c r="I31" s="33" t="str">
        <f>TEXT(事件!M11,"0")&amp;"–"&amp;TEXT(事件!N11,"0")</f>
        <v>172–344</v>
      </c>
    </row>
    <row r="32" spans="1:17" ht="15">
      <c r="A32" s="27">
        <f>事件!A12</f>
        <v>102</v>
      </c>
      <c r="B32" s="33" t="str">
        <f>事件!B12</f>
        <v>gate_8</v>
      </c>
      <c r="C32" s="33" t="str">
        <f>事件!C12</f>
        <v>普通强化门</v>
      </c>
      <c r="D32" s="15">
        <f>事件!E12</f>
        <v>201</v>
      </c>
      <c r="E32" s="15">
        <f>事件!F12</f>
        <v>201</v>
      </c>
      <c r="F32" s="15">
        <f>事件!G12</f>
        <v>402</v>
      </c>
      <c r="G32" s="15">
        <f>事件!H12</f>
        <v>151</v>
      </c>
      <c r="H32" s="15">
        <f>事件!K12</f>
        <v>603</v>
      </c>
      <c r="I32" s="33" t="str">
        <f>TEXT(事件!M12,"0")&amp;"–"&amp;TEXT(事件!N12,"0")</f>
        <v>201–402</v>
      </c>
    </row>
    <row r="33" spans="1:17" ht="15">
      <c r="A33" s="27">
        <f>事件!A13</f>
        <v>110</v>
      </c>
      <c r="B33" s="33" t="str">
        <f>事件!B13</f>
        <v>gate_9</v>
      </c>
      <c r="C33" s="33" t="str">
        <f>事件!C13</f>
        <v>普通强化门</v>
      </c>
      <c r="D33" s="15">
        <f>事件!E13</f>
        <v>233</v>
      </c>
      <c r="E33" s="15">
        <f>事件!F13</f>
        <v>233</v>
      </c>
      <c r="F33" s="15">
        <f>事件!G13</f>
        <v>466</v>
      </c>
      <c r="G33" s="15">
        <f>事件!H13</f>
        <v>175</v>
      </c>
      <c r="H33" s="15">
        <f>事件!K13</f>
        <v>699</v>
      </c>
      <c r="I33" s="33" t="str">
        <f>TEXT(事件!M13,"0")&amp;"–"&amp;TEXT(事件!N13,"0")</f>
        <v>233–466</v>
      </c>
    </row>
    <row r="34" spans="1:17" ht="15">
      <c r="A34" s="27">
        <f>事件!A14</f>
        <v>118</v>
      </c>
      <c r="B34" s="33" t="str">
        <f>事件!B14</f>
        <v>gate_10</v>
      </c>
      <c r="C34" s="33" t="str">
        <f>事件!C14</f>
        <v>普通强化门</v>
      </c>
      <c r="D34" s="15">
        <f>事件!E14</f>
        <v>268</v>
      </c>
      <c r="E34" s="15">
        <f>事件!F14</f>
        <v>268</v>
      </c>
      <c r="F34" s="15">
        <f>事件!G14</f>
        <v>536</v>
      </c>
      <c r="G34" s="15">
        <f>事件!H14</f>
        <v>201</v>
      </c>
      <c r="H34" s="15">
        <f>事件!K14</f>
        <v>804</v>
      </c>
      <c r="I34" s="33" t="str">
        <f>TEXT(事件!M14,"0")&amp;"–"&amp;TEXT(事件!N14,"0")</f>
        <v>268–536</v>
      </c>
    </row>
    <row r="35" spans="1:17" ht="15">
      <c r="A35" s="27">
        <f>事件!A15</f>
        <v>126</v>
      </c>
      <c r="B35" s="33" t="str">
        <f>事件!B15</f>
        <v>gate_11</v>
      </c>
      <c r="C35" s="33" t="str">
        <f>事件!C15</f>
        <v>普通强化门</v>
      </c>
      <c r="D35" s="15">
        <f>事件!E15</f>
        <v>305</v>
      </c>
      <c r="E35" s="15">
        <f>事件!F15</f>
        <v>305</v>
      </c>
      <c r="F35" s="15">
        <f>事件!G15</f>
        <v>610</v>
      </c>
      <c r="G35" s="15">
        <f>事件!H15</f>
        <v>229</v>
      </c>
      <c r="H35" s="15">
        <f>事件!K15</f>
        <v>915</v>
      </c>
      <c r="I35" s="33" t="str">
        <f>TEXT(事件!M15,"0")&amp;"–"&amp;TEXT(事件!N15,"0")</f>
        <v>305–610</v>
      </c>
    </row>
    <row r="36" spans="1:17" ht="15">
      <c r="A36" s="30">
        <f>事件!A16</f>
        <v>135</v>
      </c>
      <c r="B36" s="34" t="str">
        <f>事件!B16</f>
        <v>boss</v>
      </c>
      <c r="C36" s="34" t="str">
        <f>事件!C16</f>
        <v>Boss</v>
      </c>
      <c r="D36" s="19">
        <f>事件!E16</f>
        <v>350</v>
      </c>
      <c r="E36" s="19">
        <f>事件!F16</f>
        <v>350</v>
      </c>
      <c r="F36" s="19">
        <f>事件!G16</f>
        <v>700</v>
      </c>
      <c r="G36" s="19">
        <f>事件!H16</f>
        <v>263</v>
      </c>
      <c r="H36" s="19">
        <f>事件!K16</f>
        <v>1050</v>
      </c>
      <c r="I36" s="34" t="str">
        <f>TEXT(事件!M16,"0")&amp;"–"&amp;TEXT(事件!N16,"0")</f>
        <v>350–700</v>
      </c>
    </row>
    <row r="38" spans="1:17" ht="28.05" customHeight="1">
      <c r="A38" s="37" t="s">
        <v>35</v>
      </c>
      <c r="B38" s="37" t="s">
        <v>35</v>
      </c>
      <c r="C38" s="37" t="s">
        <v>35</v>
      </c>
      <c r="D38" s="37" t="s">
        <v>35</v>
      </c>
      <c r="E38" s="37" t="s">
        <v>35</v>
      </c>
      <c r="F38" s="37" t="s">
        <v>35</v>
      </c>
      <c r="G38" s="37" t="s">
        <v>35</v>
      </c>
      <c r="H38" s="37" t="s">
        <v>35</v>
      </c>
      <c r="I38" s="37" t="s">
        <v>35</v>
      </c>
      <c r="J38" s="37" t="s">
        <v>35</v>
      </c>
      <c r="K38" s="37" t="s">
        <v>35</v>
      </c>
      <c r="L38" s="37" t="s">
        <v>35</v>
      </c>
      <c r="M38" s="37" t="s">
        <v>35</v>
      </c>
      <c r="N38" s="37" t="s">
        <v>35</v>
      </c>
      <c r="O38" s="37" t="s">
        <v>35</v>
      </c>
      <c r="P38" s="37" t="s">
        <v>35</v>
      </c>
      <c r="Q38" s="37" t="s">
        <v>35</v>
      </c>
    </row>
    <row r="39" spans="1:17" ht="31.95" customHeight="1">
      <c r="A39" s="35" t="s">
        <v>36</v>
      </c>
      <c r="B39" s="39" t="s">
        <v>37</v>
      </c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</row>
    <row r="40" spans="1:17" ht="31.95" customHeight="1">
      <c r="A40" s="35" t="s">
        <v>38</v>
      </c>
      <c r="B40" s="39" t="s">
        <v>39</v>
      </c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</row>
    <row r="41" spans="1:17" ht="31.95" customHeight="1">
      <c r="A41" s="35" t="s">
        <v>40</v>
      </c>
      <c r="B41" s="39" t="s">
        <v>41</v>
      </c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</row>
    <row r="42" spans="1:17" ht="31.95" customHeight="1">
      <c r="A42" s="35" t="s">
        <v>42</v>
      </c>
      <c r="B42" s="39" t="s">
        <v>43</v>
      </c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</row>
  </sheetData>
  <mergeCells count="16">
    <mergeCell ref="A38:Q38"/>
    <mergeCell ref="B39:Q39"/>
    <mergeCell ref="B40:Q40"/>
    <mergeCell ref="B41:Q41"/>
    <mergeCell ref="B42:Q42"/>
    <mergeCell ref="K23:Q23"/>
    <mergeCell ref="K24:Q24"/>
    <mergeCell ref="K25:Q25"/>
    <mergeCell ref="K26:Q26"/>
    <mergeCell ref="K27:Q27"/>
    <mergeCell ref="A1:Q1"/>
    <mergeCell ref="A5:F5"/>
    <mergeCell ref="A20:Q20"/>
    <mergeCell ref="J21:Q21"/>
    <mergeCell ref="K22:Q22"/>
    <mergeCell ref="A2:Q3"/>
  </mergeCells>
  <phoneticPr fontId="7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showGridLines="0" tabSelected="1" workbookViewId="0">
      <selection activeCell="B8" sqref="B8"/>
    </sheetView>
  </sheetViews>
  <sheetFormatPr defaultColWidth="9" defaultRowHeight="14.4"/>
  <cols>
    <col min="1" max="1" width="34" customWidth="1"/>
    <col min="2" max="2" width="30" customWidth="1"/>
    <col min="3" max="3" width="36" customWidth="1"/>
    <col min="4" max="4" width="48" customWidth="1"/>
    <col min="5" max="5" width="30" customWidth="1"/>
  </cols>
  <sheetData>
    <row r="1" spans="1:5" ht="30" customHeight="1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</row>
    <row r="2" spans="1:5" ht="34.049999999999997" customHeight="1">
      <c r="A2" s="20" t="s">
        <v>49</v>
      </c>
      <c r="B2" s="9" t="s">
        <v>50</v>
      </c>
      <c r="C2" s="3" t="s">
        <v>51</v>
      </c>
      <c r="D2" s="3" t="s">
        <v>52</v>
      </c>
      <c r="E2" s="3" t="s">
        <v>53</v>
      </c>
    </row>
    <row r="3" spans="1:5" ht="34.049999999999997" customHeight="1">
      <c r="A3" s="21" t="s">
        <v>54</v>
      </c>
      <c r="B3" s="22">
        <v>1</v>
      </c>
      <c r="C3" s="5" t="s">
        <v>55</v>
      </c>
      <c r="D3" s="5" t="s">
        <v>56</v>
      </c>
      <c r="E3" s="5" t="s">
        <v>53</v>
      </c>
    </row>
    <row r="4" spans="1:5" ht="34.049999999999997" customHeight="1">
      <c r="A4" s="21" t="s">
        <v>57</v>
      </c>
      <c r="B4" s="22">
        <v>15</v>
      </c>
      <c r="C4" s="5" t="s">
        <v>58</v>
      </c>
      <c r="D4" s="5" t="s">
        <v>59</v>
      </c>
      <c r="E4" s="5" t="s">
        <v>60</v>
      </c>
    </row>
    <row r="5" spans="1:5" ht="34.049999999999997" customHeight="1">
      <c r="A5" s="21" t="s">
        <v>61</v>
      </c>
      <c r="B5" s="22">
        <v>350</v>
      </c>
      <c r="C5" s="5" t="s">
        <v>62</v>
      </c>
      <c r="D5" s="5" t="s">
        <v>63</v>
      </c>
      <c r="E5" s="5" t="s">
        <v>64</v>
      </c>
    </row>
    <row r="6" spans="1:5" ht="34.049999999999997" customHeight="1">
      <c r="A6" s="21" t="s">
        <v>65</v>
      </c>
      <c r="B6" s="22">
        <v>135</v>
      </c>
      <c r="C6" s="5" t="s">
        <v>66</v>
      </c>
      <c r="D6" s="5" t="s">
        <v>67</v>
      </c>
      <c r="E6" s="5" t="s">
        <v>68</v>
      </c>
    </row>
    <row r="7" spans="1:5" ht="34.049999999999997" customHeight="1">
      <c r="A7" s="23" t="s">
        <v>69</v>
      </c>
      <c r="B7" s="24">
        <v>2.1</v>
      </c>
      <c r="C7" s="7" t="s">
        <v>70</v>
      </c>
      <c r="D7" s="7" t="s">
        <v>71</v>
      </c>
      <c r="E7" s="7" t="s">
        <v>72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6"/>
  <sheetViews>
    <sheetView showGridLines="0" topLeftCell="A7" workbookViewId="0">
      <selection activeCell="E16" sqref="E16"/>
    </sheetView>
  </sheetViews>
  <sheetFormatPr defaultColWidth="9" defaultRowHeight="14.4"/>
  <cols>
    <col min="1" max="1" width="16" customWidth="1"/>
    <col min="2" max="2" width="22" customWidth="1"/>
    <col min="3" max="3" width="18" customWidth="1"/>
    <col min="4" max="4" width="44" customWidth="1"/>
    <col min="5" max="5" width="14" customWidth="1"/>
    <col min="6" max="11" width="12" customWidth="1"/>
    <col min="12" max="14" width="14" customWidth="1"/>
  </cols>
  <sheetData>
    <row r="1" spans="1:14" ht="30" customHeight="1">
      <c r="A1" s="1" t="s">
        <v>17</v>
      </c>
      <c r="B1" s="1" t="s">
        <v>18</v>
      </c>
      <c r="C1" s="1" t="s">
        <v>19</v>
      </c>
      <c r="D1" s="1" t="s">
        <v>46</v>
      </c>
      <c r="E1" s="1" t="s">
        <v>4</v>
      </c>
      <c r="F1" s="1" t="s">
        <v>20</v>
      </c>
      <c r="G1" s="1" t="s">
        <v>21</v>
      </c>
      <c r="H1" s="1" t="s">
        <v>22</v>
      </c>
      <c r="I1" s="1" t="s">
        <v>73</v>
      </c>
      <c r="J1" s="1" t="s">
        <v>74</v>
      </c>
      <c r="K1" s="1" t="s">
        <v>23</v>
      </c>
      <c r="L1" s="1" t="s">
        <v>75</v>
      </c>
      <c r="M1" s="1" t="s">
        <v>76</v>
      </c>
      <c r="N1" s="1" t="s">
        <v>77</v>
      </c>
    </row>
    <row r="2" spans="1:14" ht="31.95" customHeight="1">
      <c r="A2" s="8">
        <v>2</v>
      </c>
      <c r="B2" s="9" t="s">
        <v>78</v>
      </c>
      <c r="C2" s="2" t="s">
        <v>79</v>
      </c>
      <c r="D2" s="10" t="s">
        <v>80</v>
      </c>
      <c r="E2" s="11">
        <f>ROUND(配置!$B$4+(配置!$B$5-配置!$B$4)*POWER(MIN(MAX(A2/配置!$B$6,0),1),配置!$B$7),0)</f>
        <v>15</v>
      </c>
      <c r="F2" s="11">
        <f t="shared" ref="F2:F16" si="0">ROUND(E2,0)</f>
        <v>15</v>
      </c>
      <c r="G2" s="11">
        <f t="shared" ref="G2:G16" si="1">ROUND(E2*2,0)</f>
        <v>30</v>
      </c>
      <c r="H2" s="11">
        <f t="shared" ref="H2:H16" si="2">ROUND(E2*0.75,0)</f>
        <v>11</v>
      </c>
      <c r="I2" s="11">
        <f t="shared" ref="I2:I16" si="3">ROUND(E2*1.5,0)</f>
        <v>23</v>
      </c>
      <c r="J2" s="11">
        <f t="shared" ref="J2:J16" si="4">ROUND(E2*1.5,0)</f>
        <v>23</v>
      </c>
      <c r="K2" s="11">
        <f t="shared" ref="K2:K16" si="5">ROUND(E2*3,0)</f>
        <v>45</v>
      </c>
      <c r="L2" s="11">
        <f t="shared" ref="L2:L16" si="6">ROUND(E2*5.625,0)</f>
        <v>84</v>
      </c>
      <c r="M2" s="11">
        <f t="shared" ref="M2:M16" si="7">ROUND(E2,0)</f>
        <v>15</v>
      </c>
      <c r="N2" s="11">
        <f t="shared" ref="N2:N16" si="8">ROUND(E2*2,0)</f>
        <v>30</v>
      </c>
    </row>
    <row r="3" spans="1:14" ht="31.95" customHeight="1">
      <c r="A3" s="12">
        <v>18</v>
      </c>
      <c r="B3" s="13" t="s">
        <v>81</v>
      </c>
      <c r="C3" s="4" t="s">
        <v>82</v>
      </c>
      <c r="D3" s="14" t="s">
        <v>83</v>
      </c>
      <c r="E3" s="15">
        <f>ROUND(配置!$B$4+(配置!$B$5-配置!$B$4)*POWER(MIN(MAX(A3/配置!$B$6,0),1),配置!$B$7),0)</f>
        <v>20</v>
      </c>
      <c r="F3" s="15">
        <f t="shared" si="0"/>
        <v>20</v>
      </c>
      <c r="G3" s="15">
        <f t="shared" si="1"/>
        <v>40</v>
      </c>
      <c r="H3" s="15">
        <f t="shared" si="2"/>
        <v>15</v>
      </c>
      <c r="I3" s="15">
        <f t="shared" si="3"/>
        <v>30</v>
      </c>
      <c r="J3" s="15">
        <f t="shared" si="4"/>
        <v>30</v>
      </c>
      <c r="K3" s="15">
        <f t="shared" si="5"/>
        <v>60</v>
      </c>
      <c r="L3" s="15">
        <f t="shared" si="6"/>
        <v>113</v>
      </c>
      <c r="M3" s="15">
        <f t="shared" si="7"/>
        <v>20</v>
      </c>
      <c r="N3" s="15">
        <f t="shared" si="8"/>
        <v>40</v>
      </c>
    </row>
    <row r="4" spans="1:14" ht="31.95" customHeight="1">
      <c r="A4" s="12">
        <v>27</v>
      </c>
      <c r="B4" s="13" t="s">
        <v>84</v>
      </c>
      <c r="C4" s="4" t="s">
        <v>82</v>
      </c>
      <c r="D4" s="14" t="s">
        <v>83</v>
      </c>
      <c r="E4" s="15">
        <f>ROUND(配置!$B$4+(配置!$B$5-配置!$B$4)*POWER(MIN(MAX(A4/配置!$B$6,0),1),配置!$B$7),0)</f>
        <v>26</v>
      </c>
      <c r="F4" s="15">
        <f t="shared" si="0"/>
        <v>26</v>
      </c>
      <c r="G4" s="15">
        <f t="shared" si="1"/>
        <v>52</v>
      </c>
      <c r="H4" s="15">
        <f t="shared" si="2"/>
        <v>20</v>
      </c>
      <c r="I4" s="15">
        <f t="shared" si="3"/>
        <v>39</v>
      </c>
      <c r="J4" s="15">
        <f t="shared" si="4"/>
        <v>39</v>
      </c>
      <c r="K4" s="15">
        <f t="shared" si="5"/>
        <v>78</v>
      </c>
      <c r="L4" s="15">
        <f t="shared" si="6"/>
        <v>146</v>
      </c>
      <c r="M4" s="15">
        <f t="shared" si="7"/>
        <v>26</v>
      </c>
      <c r="N4" s="15">
        <f t="shared" si="8"/>
        <v>52</v>
      </c>
    </row>
    <row r="5" spans="1:14" ht="31.95" customHeight="1">
      <c r="A5" s="12">
        <v>39</v>
      </c>
      <c r="B5" s="13" t="s">
        <v>85</v>
      </c>
      <c r="C5" s="4" t="s">
        <v>82</v>
      </c>
      <c r="D5" s="14" t="s">
        <v>83</v>
      </c>
      <c r="E5" s="15">
        <f>ROUND(配置!$B$4+(配置!$B$5-配置!$B$4)*POWER(MIN(MAX(A5/配置!$B$6,0),1),配置!$B$7),0)</f>
        <v>40</v>
      </c>
      <c r="F5" s="15">
        <f t="shared" si="0"/>
        <v>40</v>
      </c>
      <c r="G5" s="15">
        <f t="shared" si="1"/>
        <v>80</v>
      </c>
      <c r="H5" s="15">
        <f t="shared" si="2"/>
        <v>30</v>
      </c>
      <c r="I5" s="15">
        <f t="shared" si="3"/>
        <v>60</v>
      </c>
      <c r="J5" s="15">
        <f t="shared" si="4"/>
        <v>60</v>
      </c>
      <c r="K5" s="15">
        <f t="shared" si="5"/>
        <v>120</v>
      </c>
      <c r="L5" s="15">
        <f t="shared" si="6"/>
        <v>225</v>
      </c>
      <c r="M5" s="15">
        <f t="shared" si="7"/>
        <v>40</v>
      </c>
      <c r="N5" s="15">
        <f t="shared" si="8"/>
        <v>80</v>
      </c>
    </row>
    <row r="6" spans="1:14" ht="31.95" customHeight="1">
      <c r="A6" s="12">
        <v>50</v>
      </c>
      <c r="B6" s="13" t="s">
        <v>86</v>
      </c>
      <c r="C6" s="4" t="s">
        <v>82</v>
      </c>
      <c r="D6" s="14" t="s">
        <v>83</v>
      </c>
      <c r="E6" s="15">
        <f>ROUND(配置!$B$4+(配置!$B$5-配置!$B$4)*POWER(MIN(MAX(A6/配置!$B$6,0),1),配置!$B$7),0)</f>
        <v>57</v>
      </c>
      <c r="F6" s="15">
        <f t="shared" si="0"/>
        <v>57</v>
      </c>
      <c r="G6" s="15">
        <f t="shared" si="1"/>
        <v>114</v>
      </c>
      <c r="H6" s="15">
        <f t="shared" si="2"/>
        <v>43</v>
      </c>
      <c r="I6" s="15">
        <f t="shared" si="3"/>
        <v>86</v>
      </c>
      <c r="J6" s="15">
        <f t="shared" si="4"/>
        <v>86</v>
      </c>
      <c r="K6" s="15">
        <f t="shared" si="5"/>
        <v>171</v>
      </c>
      <c r="L6" s="15">
        <f t="shared" si="6"/>
        <v>321</v>
      </c>
      <c r="M6" s="15">
        <f t="shared" si="7"/>
        <v>57</v>
      </c>
      <c r="N6" s="15">
        <f t="shared" si="8"/>
        <v>114</v>
      </c>
    </row>
    <row r="7" spans="1:14" ht="31.95" customHeight="1">
      <c r="A7" s="12">
        <v>62</v>
      </c>
      <c r="B7" s="13" t="s">
        <v>87</v>
      </c>
      <c r="C7" s="4" t="s">
        <v>82</v>
      </c>
      <c r="D7" s="14" t="s">
        <v>83</v>
      </c>
      <c r="E7" s="15">
        <f>ROUND(配置!$B$4+(配置!$B$5-配置!$B$4)*POWER(MIN(MAX(A7/配置!$B$6,0),1),配置!$B$7),0)</f>
        <v>80</v>
      </c>
      <c r="F7" s="15">
        <f t="shared" si="0"/>
        <v>80</v>
      </c>
      <c r="G7" s="15">
        <f t="shared" si="1"/>
        <v>160</v>
      </c>
      <c r="H7" s="15">
        <f t="shared" si="2"/>
        <v>60</v>
      </c>
      <c r="I7" s="15">
        <f t="shared" si="3"/>
        <v>120</v>
      </c>
      <c r="J7" s="15">
        <f t="shared" si="4"/>
        <v>120</v>
      </c>
      <c r="K7" s="15">
        <f t="shared" si="5"/>
        <v>240</v>
      </c>
      <c r="L7" s="15">
        <f t="shared" si="6"/>
        <v>450</v>
      </c>
      <c r="M7" s="15">
        <f t="shared" si="7"/>
        <v>80</v>
      </c>
      <c r="N7" s="15">
        <f t="shared" si="8"/>
        <v>160</v>
      </c>
    </row>
    <row r="8" spans="1:14" ht="31.95" customHeight="1">
      <c r="A8" s="12">
        <v>74</v>
      </c>
      <c r="B8" s="13" t="s">
        <v>88</v>
      </c>
      <c r="C8" s="4" t="s">
        <v>82</v>
      </c>
      <c r="D8" s="14" t="s">
        <v>83</v>
      </c>
      <c r="E8" s="15">
        <f>ROUND(配置!$B$4+(配置!$B$5-配置!$B$4)*POWER(MIN(MAX(A8/配置!$B$6,0),1),配置!$B$7),0)</f>
        <v>110</v>
      </c>
      <c r="F8" s="15">
        <f t="shared" si="0"/>
        <v>110</v>
      </c>
      <c r="G8" s="15">
        <f t="shared" si="1"/>
        <v>220</v>
      </c>
      <c r="H8" s="15">
        <f t="shared" si="2"/>
        <v>83</v>
      </c>
      <c r="I8" s="15">
        <f t="shared" si="3"/>
        <v>165</v>
      </c>
      <c r="J8" s="15">
        <f t="shared" si="4"/>
        <v>165</v>
      </c>
      <c r="K8" s="15">
        <f t="shared" si="5"/>
        <v>330</v>
      </c>
      <c r="L8" s="15">
        <f t="shared" si="6"/>
        <v>619</v>
      </c>
      <c r="M8" s="15">
        <f t="shared" si="7"/>
        <v>110</v>
      </c>
      <c r="N8" s="15">
        <f t="shared" si="8"/>
        <v>220</v>
      </c>
    </row>
    <row r="9" spans="1:14" ht="31.95" customHeight="1">
      <c r="A9" s="12">
        <v>80</v>
      </c>
      <c r="B9" s="13" t="s">
        <v>89</v>
      </c>
      <c r="C9" s="4" t="s">
        <v>90</v>
      </c>
      <c r="D9" s="14" t="s">
        <v>91</v>
      </c>
      <c r="E9" s="15">
        <f>ROUND(配置!$B$4+(配置!$B$5-配置!$B$4)*POWER(MIN(MAX(A9/配置!$B$6,0),1),配置!$B$7),0)</f>
        <v>127</v>
      </c>
      <c r="F9" s="15">
        <f t="shared" si="0"/>
        <v>127</v>
      </c>
      <c r="G9" s="15">
        <f t="shared" si="1"/>
        <v>254</v>
      </c>
      <c r="H9" s="15">
        <f t="shared" si="2"/>
        <v>95</v>
      </c>
      <c r="I9" s="15">
        <f t="shared" si="3"/>
        <v>191</v>
      </c>
      <c r="J9" s="15">
        <f t="shared" si="4"/>
        <v>191</v>
      </c>
      <c r="K9" s="15">
        <f t="shared" si="5"/>
        <v>381</v>
      </c>
      <c r="L9" s="15">
        <f t="shared" si="6"/>
        <v>714</v>
      </c>
      <c r="M9" s="15">
        <f t="shared" si="7"/>
        <v>127</v>
      </c>
      <c r="N9" s="15">
        <f t="shared" si="8"/>
        <v>254</v>
      </c>
    </row>
    <row r="10" spans="1:14" ht="31.95" customHeight="1">
      <c r="A10" s="12">
        <v>86</v>
      </c>
      <c r="B10" s="13" t="s">
        <v>92</v>
      </c>
      <c r="C10" s="4" t="s">
        <v>82</v>
      </c>
      <c r="D10" s="14" t="s">
        <v>83</v>
      </c>
      <c r="E10" s="15">
        <f>ROUND(配置!$B$4+(配置!$B$5-配置!$B$4)*POWER(MIN(MAX(A10/配置!$B$6,0),1),配置!$B$7),0)</f>
        <v>145</v>
      </c>
      <c r="F10" s="15">
        <f t="shared" si="0"/>
        <v>145</v>
      </c>
      <c r="G10" s="15">
        <f t="shared" si="1"/>
        <v>290</v>
      </c>
      <c r="H10" s="15">
        <f t="shared" si="2"/>
        <v>109</v>
      </c>
      <c r="I10" s="15">
        <f t="shared" si="3"/>
        <v>218</v>
      </c>
      <c r="J10" s="15">
        <f t="shared" si="4"/>
        <v>218</v>
      </c>
      <c r="K10" s="15">
        <f t="shared" si="5"/>
        <v>435</v>
      </c>
      <c r="L10" s="15">
        <f t="shared" si="6"/>
        <v>816</v>
      </c>
      <c r="M10" s="15">
        <f t="shared" si="7"/>
        <v>145</v>
      </c>
      <c r="N10" s="15">
        <f t="shared" si="8"/>
        <v>290</v>
      </c>
    </row>
    <row r="11" spans="1:14" ht="31.95" customHeight="1">
      <c r="A11" s="12">
        <v>94</v>
      </c>
      <c r="B11" s="13" t="s">
        <v>93</v>
      </c>
      <c r="C11" s="4" t="s">
        <v>82</v>
      </c>
      <c r="D11" s="14" t="s">
        <v>83</v>
      </c>
      <c r="E11" s="15">
        <f>ROUND(配置!$B$4+(配置!$B$5-配置!$B$4)*POWER(MIN(MAX(A11/配置!$B$6,0),1),配置!$B$7),0)</f>
        <v>172</v>
      </c>
      <c r="F11" s="15">
        <f t="shared" si="0"/>
        <v>172</v>
      </c>
      <c r="G11" s="15">
        <f t="shared" si="1"/>
        <v>344</v>
      </c>
      <c r="H11" s="15">
        <f t="shared" si="2"/>
        <v>129</v>
      </c>
      <c r="I11" s="15">
        <f t="shared" si="3"/>
        <v>258</v>
      </c>
      <c r="J11" s="15">
        <f t="shared" si="4"/>
        <v>258</v>
      </c>
      <c r="K11" s="15">
        <f t="shared" si="5"/>
        <v>516</v>
      </c>
      <c r="L11" s="15">
        <f t="shared" si="6"/>
        <v>968</v>
      </c>
      <c r="M11" s="15">
        <f t="shared" si="7"/>
        <v>172</v>
      </c>
      <c r="N11" s="15">
        <f t="shared" si="8"/>
        <v>344</v>
      </c>
    </row>
    <row r="12" spans="1:14" ht="31.95" customHeight="1">
      <c r="A12" s="12">
        <v>102</v>
      </c>
      <c r="B12" s="13" t="s">
        <v>94</v>
      </c>
      <c r="C12" s="4" t="s">
        <v>82</v>
      </c>
      <c r="D12" s="14" t="s">
        <v>83</v>
      </c>
      <c r="E12" s="15">
        <f>ROUND(配置!$B$4+(配置!$B$5-配置!$B$4)*POWER(MIN(MAX(A12/配置!$B$6,0),1),配置!$B$7),0)</f>
        <v>201</v>
      </c>
      <c r="F12" s="15">
        <f t="shared" si="0"/>
        <v>201</v>
      </c>
      <c r="G12" s="15">
        <f t="shared" si="1"/>
        <v>402</v>
      </c>
      <c r="H12" s="15">
        <f t="shared" si="2"/>
        <v>151</v>
      </c>
      <c r="I12" s="15">
        <f t="shared" si="3"/>
        <v>302</v>
      </c>
      <c r="J12" s="15">
        <f t="shared" si="4"/>
        <v>302</v>
      </c>
      <c r="K12" s="15">
        <f t="shared" si="5"/>
        <v>603</v>
      </c>
      <c r="L12" s="15">
        <f t="shared" si="6"/>
        <v>1131</v>
      </c>
      <c r="M12" s="15">
        <f t="shared" si="7"/>
        <v>201</v>
      </c>
      <c r="N12" s="15">
        <f t="shared" si="8"/>
        <v>402</v>
      </c>
    </row>
    <row r="13" spans="1:14" ht="31.95" customHeight="1">
      <c r="A13" s="12">
        <v>110</v>
      </c>
      <c r="B13" s="13" t="s">
        <v>95</v>
      </c>
      <c r="C13" s="4" t="s">
        <v>82</v>
      </c>
      <c r="D13" s="14" t="s">
        <v>83</v>
      </c>
      <c r="E13" s="15">
        <f>ROUND(配置!$B$4+(配置!$B$5-配置!$B$4)*POWER(MIN(MAX(A13/配置!$B$6,0),1),配置!$B$7),0)</f>
        <v>233</v>
      </c>
      <c r="F13" s="15">
        <f t="shared" si="0"/>
        <v>233</v>
      </c>
      <c r="G13" s="15">
        <f t="shared" si="1"/>
        <v>466</v>
      </c>
      <c r="H13" s="15">
        <f t="shared" si="2"/>
        <v>175</v>
      </c>
      <c r="I13" s="15">
        <f t="shared" si="3"/>
        <v>350</v>
      </c>
      <c r="J13" s="15">
        <f t="shared" si="4"/>
        <v>350</v>
      </c>
      <c r="K13" s="15">
        <f t="shared" si="5"/>
        <v>699</v>
      </c>
      <c r="L13" s="15">
        <f t="shared" si="6"/>
        <v>1311</v>
      </c>
      <c r="M13" s="15">
        <f t="shared" si="7"/>
        <v>233</v>
      </c>
      <c r="N13" s="15">
        <f t="shared" si="8"/>
        <v>466</v>
      </c>
    </row>
    <row r="14" spans="1:14" ht="31.95" customHeight="1">
      <c r="A14" s="12">
        <v>118</v>
      </c>
      <c r="B14" s="13" t="s">
        <v>96</v>
      </c>
      <c r="C14" s="4" t="s">
        <v>82</v>
      </c>
      <c r="D14" s="14" t="s">
        <v>83</v>
      </c>
      <c r="E14" s="15">
        <f>ROUND(配置!$B$4+(配置!$B$5-配置!$B$4)*POWER(MIN(MAX(A14/配置!$B$6,0),1),配置!$B$7),0)</f>
        <v>268</v>
      </c>
      <c r="F14" s="15">
        <f t="shared" si="0"/>
        <v>268</v>
      </c>
      <c r="G14" s="15">
        <f t="shared" si="1"/>
        <v>536</v>
      </c>
      <c r="H14" s="15">
        <f t="shared" si="2"/>
        <v>201</v>
      </c>
      <c r="I14" s="15">
        <f t="shared" si="3"/>
        <v>402</v>
      </c>
      <c r="J14" s="15">
        <f t="shared" si="4"/>
        <v>402</v>
      </c>
      <c r="K14" s="15">
        <f t="shared" si="5"/>
        <v>804</v>
      </c>
      <c r="L14" s="15">
        <f t="shared" si="6"/>
        <v>1508</v>
      </c>
      <c r="M14" s="15">
        <f t="shared" si="7"/>
        <v>268</v>
      </c>
      <c r="N14" s="15">
        <f t="shared" si="8"/>
        <v>536</v>
      </c>
    </row>
    <row r="15" spans="1:14" ht="31.95" customHeight="1">
      <c r="A15" s="12">
        <v>126</v>
      </c>
      <c r="B15" s="13" t="s">
        <v>97</v>
      </c>
      <c r="C15" s="4" t="s">
        <v>82</v>
      </c>
      <c r="D15" s="14" t="s">
        <v>83</v>
      </c>
      <c r="E15" s="15">
        <f>ROUND(配置!$B$4+(配置!$B$5-配置!$B$4)*POWER(MIN(MAX(A15/配置!$B$6,0),1),配置!$B$7),0)</f>
        <v>305</v>
      </c>
      <c r="F15" s="15">
        <f t="shared" si="0"/>
        <v>305</v>
      </c>
      <c r="G15" s="15">
        <f t="shared" si="1"/>
        <v>610</v>
      </c>
      <c r="H15" s="15">
        <f t="shared" si="2"/>
        <v>229</v>
      </c>
      <c r="I15" s="15">
        <f t="shared" si="3"/>
        <v>458</v>
      </c>
      <c r="J15" s="15">
        <f t="shared" si="4"/>
        <v>458</v>
      </c>
      <c r="K15" s="15">
        <f t="shared" si="5"/>
        <v>915</v>
      </c>
      <c r="L15" s="15">
        <f t="shared" si="6"/>
        <v>1716</v>
      </c>
      <c r="M15" s="15">
        <f t="shared" si="7"/>
        <v>305</v>
      </c>
      <c r="N15" s="15">
        <f t="shared" si="8"/>
        <v>610</v>
      </c>
    </row>
    <row r="16" spans="1:14" ht="31.95" customHeight="1">
      <c r="A16" s="16">
        <v>135</v>
      </c>
      <c r="B16" s="17" t="s">
        <v>98</v>
      </c>
      <c r="C16" s="6" t="s">
        <v>99</v>
      </c>
      <c r="D16" s="18" t="s">
        <v>100</v>
      </c>
      <c r="E16" s="19">
        <f>ROUND(配置!$B$4+(配置!$B$5-配置!$B$4)*POWER(MIN(MAX(A16/配置!$B$6,0),1),配置!$B$7),0)</f>
        <v>350</v>
      </c>
      <c r="F16" s="19">
        <f t="shared" si="0"/>
        <v>350</v>
      </c>
      <c r="G16" s="19">
        <f t="shared" si="1"/>
        <v>700</v>
      </c>
      <c r="H16" s="19">
        <f t="shared" si="2"/>
        <v>263</v>
      </c>
      <c r="I16" s="19">
        <f t="shared" si="3"/>
        <v>525</v>
      </c>
      <c r="J16" s="19">
        <f t="shared" si="4"/>
        <v>525</v>
      </c>
      <c r="K16" s="19">
        <f t="shared" si="5"/>
        <v>1050</v>
      </c>
      <c r="L16" s="19">
        <f t="shared" si="6"/>
        <v>1969</v>
      </c>
      <c r="M16" s="19">
        <f t="shared" si="7"/>
        <v>350</v>
      </c>
      <c r="N16" s="19">
        <f t="shared" si="8"/>
        <v>700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"/>
  <sheetViews>
    <sheetView showGridLines="0" workbookViewId="0"/>
  </sheetViews>
  <sheetFormatPr defaultColWidth="9" defaultRowHeight="14.4"/>
  <cols>
    <col min="1" max="1" width="18" customWidth="1"/>
    <col min="2" max="2" width="92" customWidth="1"/>
  </cols>
  <sheetData>
    <row r="1" spans="1:2" ht="30" customHeight="1">
      <c r="A1" s="1" t="s">
        <v>101</v>
      </c>
      <c r="B1" s="1" t="s">
        <v>46</v>
      </c>
    </row>
    <row r="2" spans="1:2" ht="42" customHeight="1">
      <c r="A2" s="2" t="s">
        <v>102</v>
      </c>
      <c r="B2" s="3" t="s">
        <v>103</v>
      </c>
    </row>
    <row r="3" spans="1:2" ht="42" customHeight="1">
      <c r="A3" s="4" t="s">
        <v>104</v>
      </c>
      <c r="B3" s="5" t="s">
        <v>105</v>
      </c>
    </row>
    <row r="4" spans="1:2" ht="42" customHeight="1">
      <c r="A4" s="4" t="s">
        <v>106</v>
      </c>
      <c r="B4" s="5" t="s">
        <v>107</v>
      </c>
    </row>
    <row r="5" spans="1:2" ht="42" customHeight="1">
      <c r="A5" s="4" t="s">
        <v>108</v>
      </c>
      <c r="B5" s="5" t="s">
        <v>109</v>
      </c>
    </row>
    <row r="6" spans="1:2" ht="42" customHeight="1">
      <c r="A6" s="4" t="s">
        <v>110</v>
      </c>
      <c r="B6" s="5" t="s">
        <v>111</v>
      </c>
    </row>
    <row r="7" spans="1:2" ht="42" customHeight="1">
      <c r="A7" s="4" t="s">
        <v>112</v>
      </c>
      <c r="B7" s="5" t="s">
        <v>113</v>
      </c>
    </row>
    <row r="8" spans="1:2" ht="42" customHeight="1">
      <c r="A8" s="4" t="s">
        <v>114</v>
      </c>
      <c r="B8" s="5" t="s">
        <v>115</v>
      </c>
    </row>
    <row r="9" spans="1:2" ht="42" customHeight="1">
      <c r="A9" s="4" t="s">
        <v>116</v>
      </c>
      <c r="B9" s="5" t="s">
        <v>117</v>
      </c>
    </row>
    <row r="10" spans="1:2" ht="42" customHeight="1">
      <c r="A10" s="6" t="s">
        <v>118</v>
      </c>
      <c r="B10" s="7" t="s">
        <v>119</v>
      </c>
    </row>
  </sheetData>
  <phoneticPr fontId="7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时间轴预览</vt:lpstr>
      <vt:lpstr>配置</vt:lpstr>
      <vt:lpstr>事件</vt:lpstr>
      <vt:lpstr>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塔</cp:lastModifiedBy>
  <dcterms:created xsi:type="dcterms:W3CDTF">2026-07-27T13:36:24Z</dcterms:created>
  <dcterms:modified xsi:type="dcterms:W3CDTF">2026-07-27T14:05:39Z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F41E2D26B49D4B28B90DBA8E871CA709_12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