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ameproduct\小厨西\balance_tables\"/>
    </mc:Choice>
  </mc:AlternateContent>
  <xr:revisionPtr revIDLastSave="0" documentId="13_ncr:1_{2834A676-DDB7-4795-86D2-D33F3DFA4C96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时间轴预览" sheetId="1" r:id="rId1"/>
    <sheet name="配置" sheetId="2" r:id="rId2"/>
    <sheet name="事件" sheetId="3" r:id="rId3"/>
    <sheet name="说明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60" i="1" l="1"/>
  <c r="B60" i="1" s="1"/>
  <c r="A59" i="1"/>
  <c r="B59" i="1" s="1"/>
  <c r="A58" i="1"/>
  <c r="B58" i="1" s="1"/>
  <c r="B57" i="1"/>
  <c r="A57" i="1"/>
  <c r="A56" i="1"/>
  <c r="B56" i="1" s="1"/>
  <c r="A55" i="1"/>
  <c r="B55" i="1" s="1"/>
  <c r="A54" i="1"/>
  <c r="B54" i="1" s="1"/>
  <c r="A53" i="1"/>
  <c r="B53" i="1" s="1"/>
  <c r="A52" i="1"/>
  <c r="B52" i="1" s="1"/>
  <c r="B51" i="1"/>
  <c r="A51" i="1"/>
  <c r="A50" i="1"/>
  <c r="B50" i="1" s="1"/>
  <c r="A45" i="1"/>
  <c r="B45" i="1" s="1"/>
  <c r="A44" i="1"/>
  <c r="B44" i="1" s="1"/>
  <c r="A43" i="1"/>
  <c r="B43" i="1" s="1"/>
  <c r="A42" i="1"/>
  <c r="B42" i="1" s="1"/>
  <c r="B41" i="1"/>
  <c r="A41" i="1"/>
  <c r="A40" i="1"/>
  <c r="B40" i="1" s="1"/>
  <c r="A39" i="1"/>
  <c r="B39" i="1" s="1"/>
  <c r="A38" i="1"/>
  <c r="B38" i="1" s="1"/>
  <c r="A37" i="1"/>
  <c r="B37" i="1" s="1"/>
  <c r="A36" i="1"/>
  <c r="B36" i="1" s="1"/>
  <c r="B35" i="1"/>
  <c r="A35" i="1"/>
  <c r="A30" i="1"/>
  <c r="B30" i="1" s="1"/>
  <c r="A29" i="1"/>
  <c r="B29" i="1" s="1"/>
  <c r="A28" i="1"/>
  <c r="B28" i="1" s="1"/>
  <c r="A27" i="1"/>
  <c r="B27" i="1" s="1"/>
  <c r="A26" i="1"/>
  <c r="B26" i="1" s="1"/>
  <c r="B25" i="1"/>
  <c r="A25" i="1"/>
  <c r="A24" i="1"/>
  <c r="B24" i="1" s="1"/>
  <c r="A23" i="1"/>
  <c r="B23" i="1" s="1"/>
  <c r="A22" i="1"/>
  <c r="B22" i="1" s="1"/>
  <c r="A21" i="1"/>
  <c r="B21" i="1" s="1"/>
  <c r="A20" i="1"/>
  <c r="B20" i="1" s="1"/>
  <c r="P18" i="1"/>
  <c r="O18" i="1"/>
  <c r="N18" i="1"/>
  <c r="M18" i="1"/>
  <c r="L18" i="1"/>
  <c r="P17" i="1"/>
  <c r="O17" i="1"/>
  <c r="N17" i="1"/>
  <c r="M17" i="1"/>
  <c r="L17" i="1"/>
  <c r="P16" i="1"/>
  <c r="O16" i="1"/>
  <c r="N16" i="1"/>
  <c r="M16" i="1"/>
  <c r="L16" i="1"/>
  <c r="P15" i="1"/>
  <c r="O15" i="1"/>
  <c r="N15" i="1"/>
  <c r="M15" i="1"/>
  <c r="L15" i="1"/>
  <c r="B15" i="1"/>
  <c r="P14" i="1"/>
  <c r="O14" i="1"/>
  <c r="N14" i="1"/>
  <c r="M14" i="1"/>
  <c r="L14" i="1"/>
  <c r="B14" i="1"/>
  <c r="P13" i="1"/>
  <c r="O13" i="1"/>
  <c r="N13" i="1"/>
  <c r="M13" i="1"/>
  <c r="L13" i="1"/>
  <c r="E13" i="1"/>
  <c r="B13" i="1"/>
  <c r="P12" i="1"/>
  <c r="O12" i="1"/>
  <c r="N12" i="1"/>
  <c r="M12" i="1"/>
  <c r="L12" i="1"/>
  <c r="E12" i="1"/>
  <c r="B12" i="1"/>
  <c r="P11" i="1"/>
  <c r="O11" i="1"/>
  <c r="N11" i="1"/>
  <c r="M11" i="1"/>
  <c r="L11" i="1"/>
  <c r="E11" i="1"/>
  <c r="B11" i="1"/>
  <c r="P10" i="1"/>
  <c r="O10" i="1"/>
  <c r="N10" i="1"/>
  <c r="M10" i="1"/>
  <c r="L10" i="1"/>
  <c r="E10" i="1"/>
  <c r="B10" i="1"/>
  <c r="P9" i="1"/>
  <c r="O9" i="1"/>
  <c r="N9" i="1"/>
  <c r="M9" i="1"/>
  <c r="L9" i="1"/>
  <c r="E9" i="1"/>
  <c r="B9" i="1"/>
  <c r="P8" i="1"/>
  <c r="O8" i="1"/>
  <c r="N8" i="1"/>
  <c r="M8" i="1"/>
  <c r="L8" i="1"/>
  <c r="E8" i="1"/>
  <c r="B8" i="1"/>
  <c r="P7" i="1"/>
  <c r="O7" i="1"/>
  <c r="N7" i="1"/>
  <c r="M7" i="1"/>
  <c r="L7" i="1"/>
  <c r="E7" i="1"/>
  <c r="B7" i="1"/>
  <c r="P6" i="1"/>
  <c r="O6" i="1"/>
  <c r="N6" i="1"/>
  <c r="M6" i="1"/>
  <c r="L6" i="1"/>
  <c r="E6" i="1"/>
  <c r="B6" i="1"/>
</calcChain>
</file>

<file path=xl/sharedStrings.xml><?xml version="1.0" encoding="utf-8"?>
<sst xmlns="http://schemas.openxmlformats.org/spreadsheetml/2006/main" count="189" uniqueCount="157">
  <si>
    <t>小厨西 · 时间轴策划预览</t>
  </si>
  <si>
    <t>胃口按有效游戏时间分三段；事件按路程进度触发，不换算成时间。目标时长只用于Boss胃口与整体节奏校准。</t>
  </si>
  <si>
    <t>运行参数概览</t>
  </si>
  <si>
    <t>显式事件 · 路程进度</t>
  </si>
  <si>
    <t>胃口参数</t>
  </si>
  <si>
    <t>当前值</t>
  </si>
  <si>
    <t>流程参数</t>
  </si>
  <si>
    <t>路程进度</t>
  </si>
  <si>
    <t>事件ID</t>
  </si>
  <si>
    <t>类型</t>
  </si>
  <si>
    <t>说明</t>
  </si>
  <si>
    <t>前进倍率</t>
  </si>
  <si>
    <t>起始胃口</t>
  </si>
  <si>
    <t>正式总路程(m)</t>
  </si>
  <si>
    <t>第一段结束(s)</t>
  </si>
  <si>
    <t>普通强化门数</t>
  </si>
  <si>
    <t>第一段最大胃口</t>
  </si>
  <si>
    <t>普通波次数</t>
  </si>
  <si>
    <t>第一段指数</t>
  </si>
  <si>
    <t>目标有效时长(s) · 参考</t>
  </si>
  <si>
    <t>第二段结束(s)</t>
  </si>
  <si>
    <t>单场Boss目标(s) · 参考</t>
  </si>
  <si>
    <t>第二段最大胃口</t>
  </si>
  <si>
    <t>显式事件数</t>
  </si>
  <si>
    <t>第二段指数</t>
  </si>
  <si>
    <t>精英事件</t>
  </si>
  <si>
    <t>第三段结束(s)</t>
  </si>
  <si>
    <t>Boss事件</t>
  </si>
  <si>
    <t>第三段最大胃口</t>
  </si>
  <si>
    <t>第三段指数</t>
  </si>
  <si>
    <t>有效时间(s)</t>
  </si>
  <si>
    <t>基准胃口</t>
  </si>
  <si>
    <t>调参边界</t>
  </si>
  <si>
    <t>1. 三段结束时间必须严格递增；每段最大胃口不得低于上一段。</t>
  </si>
  <si>
    <t>2. 指数只改变各自段内形状：大于1前缓后陡，小于1前陡后缓。</t>
  </si>
  <si>
    <t>3. 目标有效时长和Boss目标时长是策划参考，不改变路程或自动结束Boss。</t>
  </si>
  <si>
    <t>4. 事件页第一列是路程进度0～1，不能按秒填写。</t>
  </si>
  <si>
    <t>5. 保存关闭后重新开始本局，看到BALANCE_TIMELINE_LOADED才表示读取成功。</t>
  </si>
  <si>
    <t>参数ID</t>
  </si>
  <si>
    <t>数值</t>
  </si>
  <si>
    <t>对游戏的影响</t>
  </si>
  <si>
    <t>修改建议</t>
  </si>
  <si>
    <t>schema_id</t>
  </si>
  <si>
    <t>xiaochuxi.encounter_timeline</t>
  </si>
  <si>
    <t>表结构标识，请勿修改</t>
  </si>
  <si>
    <t>用于确认这是小厨西时间轴表</t>
  </si>
  <si>
    <t>不要修改</t>
  </si>
  <si>
    <t>schema_version</t>
  </si>
  <si>
    <t>表结构版本，请勿修改</t>
  </si>
  <si>
    <t>用于识别表结构兼容性</t>
  </si>
  <si>
    <t>baseline_appetite_start</t>
  </si>
  <si>
    <t>有效游戏时间0秒的起始胃口</t>
  </si>
  <si>
    <t>决定开局食客、门和漏客伤害的基准</t>
  </si>
  <si>
    <t>只在开局整体过难或过易时调整</t>
  </si>
  <si>
    <t>appetite_segment_1_end_time</t>
  </si>
  <si>
    <t>第一段结束时间（秒）</t>
  </si>
  <si>
    <t>控制第一段何时到达第一段最大胃口</t>
  </si>
  <si>
    <t>必须早于第二、三段结束时间</t>
  </si>
  <si>
    <t>appetite_segment_1_maximum</t>
  </si>
  <si>
    <t>第一段结束时锁定的基准胃口</t>
  </si>
  <si>
    <t>前段压力过高或过低时调整</t>
  </si>
  <si>
    <t>appetite_segment_1_exponent</t>
  </si>
  <si>
    <t>第一段胃口增长指数</t>
  </si>
  <si>
    <t>只控制第一段内部形状，不控制结束时间</t>
  </si>
  <si>
    <t>大于1时前缓后陡；必须大于0</t>
  </si>
  <si>
    <t>appetite_segment_2_end_time</t>
  </si>
  <si>
    <t>第二段结束时间（秒）</t>
  </si>
  <si>
    <t>控制第二段何时到达第二段最大胃口</t>
  </si>
  <si>
    <t>必须晚于第一段且早于第三段</t>
  </si>
  <si>
    <t>appetite_segment_2_maximum</t>
  </si>
  <si>
    <t>第二段结束时锁定的基准胃口</t>
  </si>
  <si>
    <t>中段压力过高或过低时调整</t>
  </si>
  <si>
    <t>appetite_segment_2_exponent</t>
  </si>
  <si>
    <t>第二段胃口增长指数</t>
  </si>
  <si>
    <t>只控制第二段内部形状，不控制结束时间</t>
  </si>
  <si>
    <t>appetite_segment_3_end_time</t>
  </si>
  <si>
    <t>第三段结束时间（秒）</t>
  </si>
  <si>
    <t>控制第三段何时到达最终最大胃口</t>
  </si>
  <si>
    <t>必须晚于前两段；超过后胃口封顶</t>
  </si>
  <si>
    <t>appetite_segment_3_maximum</t>
  </si>
  <si>
    <t>第三段结束后持续使用的最终基准胃口</t>
  </si>
  <si>
    <t>末段压力过高或过低时调整</t>
  </si>
  <si>
    <t>appetite_segment_3_exponent</t>
  </si>
  <si>
    <t>第三段胃口增长指数</t>
  </si>
  <si>
    <t>只控制第三段内部形状，不控制结束时间</t>
  </si>
  <si>
    <t>course_distance</t>
  </si>
  <si>
    <t>正式总路程（米）</t>
  </si>
  <si>
    <t>决定路程进度、事件、普通门与波次的实际推进尺度</t>
  </si>
  <si>
    <t>不要用目标时长反推；调整会移动全部路程节点</t>
  </si>
  <si>
    <t>target_active_duration</t>
  </si>
  <si>
    <t>策划参考：目标有效游戏时长（秒）</t>
  </si>
  <si>
    <t>不进入运行计算；用于对照实测单局总时长</t>
  </si>
  <si>
    <t>根据实测记录校准Boss胃口与整体节奏</t>
  </si>
  <si>
    <t>target_boss_duration</t>
  </si>
  <si>
    <t>策划参考：单场Boss目标时长（秒）</t>
  </si>
  <si>
    <t>不写死Boss结束时间；Boss仍由实际胃口与输出决定</t>
  </si>
  <si>
    <t>调Boss胃口倍率，使实测耗时趋近目标</t>
  </si>
  <si>
    <t>normal_gate_count</t>
  </si>
  <si>
    <t>正式普通强化门数量</t>
  </si>
  <si>
    <t>按总路程均匀分布，只在前进阶段生成</t>
  </si>
  <si>
    <t>改变成长频率，不改变事件路程进度</t>
  </si>
  <si>
    <t>normal_wave_count</t>
  </si>
  <si>
    <t>距离制普通波次数量</t>
  </si>
  <si>
    <t>按总路程均匀分布，保持现有五波轮换与双客密度</t>
  </si>
  <si>
    <t>改变食客密度；调整后检查生成安全距离</t>
  </si>
  <si>
    <t>headwind_factor</t>
  </si>
  <si>
    <t>额外前进速度转为迎面风阻的倍率</t>
  </si>
  <si>
    <t>压力档越高，普通投射物迎面风阻越强</t>
  </si>
  <si>
    <t>必须大于等于0；调整后复核弹道可读性</t>
  </si>
  <si>
    <t>max_crosswind_speed</t>
  </si>
  <si>
    <t>末档侧漂速度（设计像素/秒）</t>
  </si>
  <si>
    <t>控制末段横向风偏强度</t>
  </si>
  <si>
    <t>必须大于等于0；过强会降低操控可读性</t>
  </si>
  <si>
    <t>minimum_cart_base_speed_factor</t>
  </si>
  <si>
    <t>末档疲劳与颠簸保留的基础横移比例</t>
  </si>
  <si>
    <t>控制末档基础横移速度下限</t>
  </si>
  <si>
    <t>取值必须大于0且不超过1</t>
  </si>
  <si>
    <t>start_gate</t>
  </si>
  <si>
    <t>开局食材门</t>
  </si>
  <si>
    <t>总路程0.5%处提供开局食材选择</t>
  </si>
  <si>
    <t>elite</t>
  </si>
  <si>
    <t>精英</t>
  </si>
  <si>
    <t>第一只精英</t>
  </si>
  <si>
    <t>压力</t>
  </si>
  <si>
    <t>前进倍率提升至1.1</t>
  </si>
  <si>
    <t>第二只精英</t>
  </si>
  <si>
    <t>前进倍率提升至1.3</t>
  </si>
  <si>
    <t>第三只精英</t>
  </si>
  <si>
    <t>boss</t>
  </si>
  <si>
    <t>Boss/压力</t>
  </si>
  <si>
    <t>中途Boss；胜利后进入1.7倍前进</t>
  </si>
  <si>
    <t>第四只精英</t>
  </si>
  <si>
    <t>前进倍率提升至2.3</t>
  </si>
  <si>
    <t>第五只精英</t>
  </si>
  <si>
    <t>前进倍率提升至3.0</t>
  </si>
  <si>
    <t>第六只精英</t>
  </si>
  <si>
    <t>Boss</t>
  </si>
  <si>
    <t>最终Boss</t>
  </si>
  <si>
    <t>项目</t>
  </si>
  <si>
    <t>推荐入口</t>
  </si>
  <si>
    <t>先看“时间轴预览”页；到“配置 / 事件”页修改黄色单元格。</t>
  </si>
  <si>
    <t>生效方式</t>
  </si>
  <si>
    <t>保存并关闭工作簿后，重新开始本局或重新运行 run_3d.tscn；游戏启动时直接读取此文件。</t>
  </si>
  <si>
    <t>颜色含义</t>
  </si>
  <si>
    <t>黄色是人工输入；蓝色是联动公式；绿色是说明或分类。</t>
  </si>
  <si>
    <t>输入规则</t>
  </si>
  <si>
    <t>关键运行参数和事件路程进度必须填写常量，不要在黄色输入格使用公式。</t>
  </si>
  <si>
    <t>事件顺序</t>
  </si>
  <si>
    <t>事件按路程进度从小到大读取；路程进度范围为0～1，事件ID按现有支持项填写。</t>
  </si>
  <si>
    <t>预览范围</t>
  </si>
  <si>
    <t>三张曲线分别预览0～135秒、135～300秒和300～480秒；事件只显示路程进度，不换算成时间。</t>
  </si>
  <si>
    <t>失败回退</t>
  </si>
  <si>
    <t>文件缺失、结构不符或数据非法时，游戏使用 data/timelines/vertical_slice.tres 并打印警告。</t>
  </si>
  <si>
    <t>结构保护</t>
  </si>
  <si>
    <t>schema_id 与 schema_version=4 用于防止旧结构或错误工作簿被当作当前时间轴读取。</t>
  </si>
  <si>
    <t>临时文件</t>
  </si>
  <si>
    <t>Excel 打开时产生的 ~$*.xlsx 不会被游戏读取，也不应提交到 Git。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</si>
</sst>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%"/>
    <numFmt numFmtId="178" formatCode="0.###"/>
    <numFmt numFmtId="179" formatCode="#,##0.###"/>
  </numFmts>
  <fonts count="8">
    <font>
      <sz val="11"/>
      <name val="Carlito"/>
    </font>
    <font>
      <b/>
      <sz val="10"/>
      <color rgb="FFFFFFFF"/>
      <name val="Microsoft YaHei"/>
      <family val="2"/>
      <charset val="134"/>
    </font>
    <font>
      <sz val="10"/>
      <color rgb="FF243238"/>
      <name val="Microsoft YaHei"/>
      <family val="2"/>
      <charset val="134"/>
    </font>
    <font>
      <b/>
      <sz val="18"/>
      <color rgb="FFFFFFFF"/>
      <name val="Microsoft YaHei"/>
      <family val="2"/>
      <charset val="134"/>
    </font>
    <font>
      <b/>
      <sz val="10"/>
      <color rgb="FF243238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b/>
      <sz val="12"/>
      <color rgb="FFFFFFFF"/>
      <name val="Microsoft YaHei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rgb="FF243238"/>
      </patternFill>
    </fill>
    <fill>
      <patternFill patternType="solid">
        <fgColor rgb="FFE8F3EC"/>
      </patternFill>
    </fill>
    <fill>
      <patternFill patternType="solid">
        <fgColor rgb="FF243238"/>
      </patternFill>
    </fill>
    <fill>
      <patternFill patternType="solid">
        <fgColor rgb="FFFFF3CD"/>
      </patternFill>
    </fill>
    <fill>
      <patternFill patternType="solid">
        <fgColor rgb="FFE8F3EC"/>
      </patternFill>
    </fill>
    <fill>
      <patternFill patternType="solid">
        <fgColor rgb="FFDCE7E1"/>
      </patternFill>
    </fill>
    <fill>
      <patternFill patternType="solid">
        <fgColor rgb="FFE7F0F8"/>
      </patternFill>
    </fill>
    <fill>
      <patternFill patternType="solid">
        <fgColor theme="3" tint="0.89999084444715716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/>
      <right style="thin">
        <color rgb="FFD7DDD9"/>
      </right>
      <top/>
      <bottom style="thin">
        <color rgb="FFD7DDD9"/>
      </bottom>
      <diagonal/>
    </border>
    <border>
      <left style="thin">
        <color rgb="FFD7DDD9"/>
      </left>
      <right style="thin">
        <color rgb="FFD7DDD9"/>
      </right>
      <top/>
      <bottom style="thin">
        <color rgb="FFD7DDD9"/>
      </bottom>
      <diagonal/>
    </border>
    <border>
      <left style="thin">
        <color rgb="FFD7DDD9"/>
      </left>
      <right/>
      <top/>
      <bottom style="thin">
        <color rgb="FFD7DDD9"/>
      </bottom>
      <diagonal/>
    </border>
    <border>
      <left/>
      <right style="thin">
        <color rgb="FFD7DDD9"/>
      </right>
      <top style="thin">
        <color rgb="FFD7DDD9"/>
      </top>
      <bottom style="thin">
        <color rgb="FFD7DDD9"/>
      </bottom>
      <diagonal/>
    </border>
    <border>
      <left style="thin">
        <color rgb="FFD7DDD9"/>
      </left>
      <right style="thin">
        <color rgb="FFD7DDD9"/>
      </right>
      <top style="thin">
        <color rgb="FFD7DDD9"/>
      </top>
      <bottom style="thin">
        <color rgb="FFD7DDD9"/>
      </bottom>
      <diagonal/>
    </border>
    <border>
      <left style="thin">
        <color rgb="FFD7DDD9"/>
      </left>
      <right/>
      <top style="thin">
        <color rgb="FFD7DDD9"/>
      </top>
      <bottom style="thin">
        <color rgb="FFD7DDD9"/>
      </bottom>
      <diagonal/>
    </border>
    <border>
      <left/>
      <right style="thin">
        <color rgb="FFD7DDD9"/>
      </right>
      <top style="thin">
        <color rgb="FFD7DDD9"/>
      </top>
      <bottom/>
      <diagonal/>
    </border>
    <border>
      <left style="thin">
        <color rgb="FFD7DDD9"/>
      </left>
      <right style="thin">
        <color rgb="FFD7DDD9"/>
      </right>
      <top style="thin">
        <color rgb="FFD7DDD9"/>
      </top>
      <bottom/>
      <diagonal/>
    </border>
    <border>
      <left style="thin">
        <color rgb="FFD7DDD9"/>
      </left>
      <right/>
      <top style="thin">
        <color rgb="FFD7DDD9"/>
      </top>
      <bottom/>
      <diagonal/>
    </border>
  </borders>
  <cellStyleXfs count="2">
    <xf numFmtId="0" fontId="0" fillId="0" borderId="0"/>
    <xf numFmtId="0" fontId="5" fillId="0" borderId="0"/>
  </cellStyleXfs>
  <cellXfs count="76">
    <xf numFmtId="0" fontId="0" fillId="0" borderId="0" xfId="0"/>
    <xf numFmtId="0" fontId="2" fillId="3" borderId="1" xfId="1" applyFont="1" applyFill="1" applyBorder="1" applyAlignment="1">
      <alignment vertical="center"/>
    </xf>
    <xf numFmtId="0" fontId="2" fillId="0" borderId="1" xfId="1" applyFont="1" applyBorder="1" applyAlignment="1">
      <alignment vertical="center" wrapText="1"/>
    </xf>
    <xf numFmtId="0" fontId="2" fillId="3" borderId="2" xfId="1" applyFont="1" applyFill="1" applyBorder="1" applyAlignment="1">
      <alignment vertical="center"/>
    </xf>
    <xf numFmtId="0" fontId="2" fillId="0" borderId="2" xfId="1" applyFont="1" applyBorder="1" applyAlignment="1">
      <alignment vertical="center" wrapText="1"/>
    </xf>
    <xf numFmtId="0" fontId="2" fillId="3" borderId="3" xfId="1" applyFont="1" applyFill="1" applyBorder="1" applyAlignment="1">
      <alignment vertical="center"/>
    </xf>
    <xf numFmtId="0" fontId="2" fillId="0" borderId="3" xfId="1" applyFont="1" applyBorder="1" applyAlignment="1">
      <alignment vertical="center" wrapText="1"/>
    </xf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1" fillId="4" borderId="4" xfId="0" applyNumberFormat="1" applyFont="1" applyFill="1" applyBorder="1" applyAlignment="1">
      <alignment horizontal="center" wrapText="1"/>
    </xf>
    <xf numFmtId="0" fontId="1" fillId="4" borderId="5" xfId="0" applyNumberFormat="1" applyFont="1" applyFill="1" applyBorder="1" applyAlignment="1">
      <alignment horizontal="center" wrapText="1"/>
    </xf>
    <xf numFmtId="0" fontId="1" fillId="4" borderId="6" xfId="0" applyNumberFormat="1" applyFont="1" applyFill="1" applyBorder="1" applyAlignment="1">
      <alignment horizontal="center" wrapText="1"/>
    </xf>
    <xf numFmtId="177" fontId="0" fillId="5" borderId="7" xfId="0" applyNumberFormat="1" applyFont="1" applyFill="1" applyBorder="1"/>
    <xf numFmtId="0" fontId="0" fillId="5" borderId="8" xfId="0" applyNumberFormat="1" applyFont="1" applyFill="1" applyBorder="1"/>
    <xf numFmtId="0" fontId="0" fillId="6" borderId="8" xfId="0" applyNumberFormat="1" applyFont="1" applyFill="1" applyBorder="1"/>
    <xf numFmtId="0" fontId="0" fillId="6" borderId="8" xfId="0" applyNumberFormat="1" applyFont="1" applyFill="1" applyBorder="1" applyAlignment="1">
      <alignment wrapText="1"/>
    </xf>
    <xf numFmtId="176" fontId="0" fillId="5" borderId="9" xfId="0" applyNumberFormat="1" applyFont="1" applyFill="1" applyBorder="1"/>
    <xf numFmtId="177" fontId="0" fillId="5" borderId="10" xfId="0" applyNumberFormat="1" applyFont="1" applyFill="1" applyBorder="1"/>
    <xf numFmtId="0" fontId="0" fillId="5" borderId="11" xfId="0" applyNumberFormat="1" applyFont="1" applyFill="1" applyBorder="1"/>
    <xf numFmtId="0" fontId="0" fillId="6" borderId="11" xfId="0" applyNumberFormat="1" applyFont="1" applyFill="1" applyBorder="1"/>
    <xf numFmtId="0" fontId="0" fillId="6" borderId="11" xfId="0" applyNumberFormat="1" applyFont="1" applyFill="1" applyBorder="1" applyAlignment="1">
      <alignment wrapText="1"/>
    </xf>
    <xf numFmtId="176" fontId="0" fillId="5" borderId="12" xfId="0" applyNumberFormat="1" applyFont="1" applyFill="1" applyBorder="1"/>
    <xf numFmtId="0" fontId="1" fillId="4" borderId="4" xfId="0" applyNumberFormat="1" applyFont="1" applyFill="1" applyBorder="1" applyAlignment="1">
      <alignment horizontal="center" vertical="center" wrapText="1"/>
    </xf>
    <xf numFmtId="0" fontId="1" fillId="4" borderId="5" xfId="0" applyNumberFormat="1" applyFont="1" applyFill="1" applyBorder="1" applyAlignment="1">
      <alignment horizontal="center" vertical="center" wrapText="1"/>
    </xf>
    <xf numFmtId="0" fontId="1" fillId="4" borderId="6" xfId="0" applyNumberFormat="1" applyFont="1" applyFill="1" applyBorder="1" applyAlignment="1">
      <alignment horizontal="center" vertical="center" wrapText="1"/>
    </xf>
    <xf numFmtId="0" fontId="2" fillId="6" borderId="7" xfId="0" applyNumberFormat="1" applyFont="1" applyFill="1" applyBorder="1" applyAlignment="1">
      <alignment vertical="center"/>
    </xf>
    <xf numFmtId="0" fontId="2" fillId="6" borderId="8" xfId="0" applyNumberFormat="1" applyFont="1" applyFill="1" applyBorder="1" applyAlignment="1">
      <alignment vertical="center"/>
    </xf>
    <xf numFmtId="0" fontId="2" fillId="6" borderId="8" xfId="0" applyNumberFormat="1" applyFont="1" applyFill="1" applyBorder="1" applyAlignment="1">
      <alignment vertical="center" wrapText="1"/>
    </xf>
    <xf numFmtId="0" fontId="2" fillId="6" borderId="9" xfId="0" applyNumberFormat="1" applyFont="1" applyFill="1" applyBorder="1" applyAlignment="1">
      <alignment vertical="center" wrapText="1"/>
    </xf>
    <xf numFmtId="0" fontId="0" fillId="6" borderId="7" xfId="0" applyNumberFormat="1" applyFont="1" applyFill="1" applyBorder="1"/>
    <xf numFmtId="0" fontId="0" fillId="6" borderId="9" xfId="0" applyNumberFormat="1" applyFont="1" applyFill="1" applyBorder="1" applyAlignment="1">
      <alignment wrapText="1"/>
    </xf>
    <xf numFmtId="0" fontId="0" fillId="6" borderId="10" xfId="0" applyNumberFormat="1" applyFont="1" applyFill="1" applyBorder="1"/>
    <xf numFmtId="0" fontId="0" fillId="6" borderId="12" xfId="0" applyNumberFormat="1" applyFont="1" applyFill="1" applyBorder="1" applyAlignment="1">
      <alignment wrapText="1"/>
    </xf>
    <xf numFmtId="1" fontId="2" fillId="6" borderId="8" xfId="0" applyNumberFormat="1" applyFont="1" applyFill="1" applyBorder="1" applyAlignment="1">
      <alignment vertical="center"/>
    </xf>
    <xf numFmtId="178" fontId="2" fillId="5" borderId="8" xfId="0" applyNumberFormat="1" applyFont="1" applyFill="1" applyBorder="1" applyAlignment="1">
      <alignment vertical="center"/>
    </xf>
    <xf numFmtId="178" fontId="0" fillId="5" borderId="8" xfId="0" applyNumberFormat="1" applyFont="1" applyFill="1" applyBorder="1"/>
    <xf numFmtId="178" fontId="0" fillId="5" borderId="11" xfId="0" applyNumberFormat="1" applyFont="1" applyFill="1" applyBorder="1"/>
    <xf numFmtId="0" fontId="2" fillId="0" borderId="0" xfId="0" applyNumberFormat="1" applyFont="1" applyFill="1" applyBorder="1"/>
    <xf numFmtId="0" fontId="4" fillId="7" borderId="7" xfId="0" applyNumberFormat="1" applyFont="1" applyFill="1" applyBorder="1"/>
    <xf numFmtId="0" fontId="4" fillId="7" borderId="8" xfId="0" applyNumberFormat="1" applyFont="1" applyFill="1" applyBorder="1"/>
    <xf numFmtId="0" fontId="4" fillId="7" borderId="9" xfId="0" applyNumberFormat="1" applyFont="1" applyFill="1" applyBorder="1"/>
    <xf numFmtId="0" fontId="2" fillId="6" borderId="7" xfId="0" applyNumberFormat="1" applyFont="1" applyFill="1" applyBorder="1"/>
    <xf numFmtId="0" fontId="2" fillId="0" borderId="8" xfId="0" applyNumberFormat="1" applyFont="1" applyFill="1" applyBorder="1"/>
    <xf numFmtId="0" fontId="2" fillId="6" borderId="8" xfId="0" applyNumberFormat="1" applyFont="1" applyFill="1" applyBorder="1"/>
    <xf numFmtId="0" fontId="2" fillId="0" borderId="9" xfId="0" applyNumberFormat="1" applyFont="1" applyFill="1" applyBorder="1"/>
    <xf numFmtId="0" fontId="2" fillId="6" borderId="10" xfId="0" applyNumberFormat="1" applyFont="1" applyFill="1" applyBorder="1"/>
    <xf numFmtId="0" fontId="2" fillId="0" borderId="11" xfId="0" applyNumberFormat="1" applyFont="1" applyFill="1" applyBorder="1"/>
    <xf numFmtId="0" fontId="2" fillId="0" borderId="12" xfId="0" applyNumberFormat="1" applyFont="1" applyFill="1" applyBorder="1"/>
    <xf numFmtId="179" fontId="2" fillId="8" borderId="8" xfId="0" applyNumberFormat="1" applyFont="1" applyFill="1" applyBorder="1"/>
    <xf numFmtId="179" fontId="2" fillId="8" borderId="11" xfId="0" applyNumberFormat="1" applyFont="1" applyFill="1" applyBorder="1"/>
    <xf numFmtId="179" fontId="2" fillId="8" borderId="9" xfId="0" applyNumberFormat="1" applyFont="1" applyFill="1" applyBorder="1"/>
    <xf numFmtId="0" fontId="4" fillId="7" borderId="7" xfId="0" applyNumberFormat="1" applyFont="1" applyFill="1" applyBorder="1" applyAlignment="1">
      <alignment horizontal="center"/>
    </xf>
    <xf numFmtId="0" fontId="4" fillId="7" borderId="8" xfId="0" applyNumberFormat="1" applyFont="1" applyFill="1" applyBorder="1" applyAlignment="1">
      <alignment horizontal="center"/>
    </xf>
    <xf numFmtId="0" fontId="4" fillId="7" borderId="9" xfId="0" applyNumberFormat="1" applyFont="1" applyFill="1" applyBorder="1" applyAlignment="1">
      <alignment horizontal="center"/>
    </xf>
    <xf numFmtId="176" fontId="2" fillId="5" borderId="9" xfId="0" applyNumberFormat="1" applyFont="1" applyFill="1" applyBorder="1"/>
    <xf numFmtId="0" fontId="2" fillId="6" borderId="11" xfId="0" applyNumberFormat="1" applyFont="1" applyFill="1" applyBorder="1"/>
    <xf numFmtId="176" fontId="2" fillId="5" borderId="12" xfId="0" applyNumberFormat="1" applyFont="1" applyFill="1" applyBorder="1"/>
    <xf numFmtId="0" fontId="2" fillId="6" borderId="8" xfId="0" applyNumberFormat="1" applyFont="1" applyFill="1" applyBorder="1" applyAlignment="1">
      <alignment wrapText="1"/>
    </xf>
    <xf numFmtId="0" fontId="2" fillId="6" borderId="11" xfId="0" applyNumberFormat="1" applyFont="1" applyFill="1" applyBorder="1" applyAlignment="1">
      <alignment wrapText="1"/>
    </xf>
    <xf numFmtId="0" fontId="1" fillId="4" borderId="4" xfId="0" applyNumberFormat="1" applyFont="1" applyFill="1" applyBorder="1" applyAlignment="1">
      <alignment horizontal="center"/>
    </xf>
    <xf numFmtId="0" fontId="1" fillId="4" borderId="6" xfId="0" applyNumberFormat="1" applyFont="1" applyFill="1" applyBorder="1" applyAlignment="1">
      <alignment horizontal="center"/>
    </xf>
    <xf numFmtId="1" fontId="2" fillId="8" borderId="7" xfId="0" applyNumberFormat="1" applyFont="1" applyFill="1" applyBorder="1"/>
    <xf numFmtId="1" fontId="2" fillId="8" borderId="10" xfId="0" applyNumberFormat="1" applyFont="1" applyFill="1" applyBorder="1"/>
    <xf numFmtId="3" fontId="2" fillId="8" borderId="9" xfId="0" applyNumberFormat="1" applyFont="1" applyFill="1" applyBorder="1"/>
    <xf numFmtId="3" fontId="2" fillId="8" borderId="12" xfId="0" applyNumberFormat="1" applyFont="1" applyFill="1" applyBorder="1"/>
    <xf numFmtId="177" fontId="2" fillId="9" borderId="7" xfId="0" applyNumberFormat="1" applyFont="1" applyFill="1" applyBorder="1"/>
    <xf numFmtId="0" fontId="2" fillId="9" borderId="8" xfId="0" applyNumberFormat="1" applyFont="1" applyFill="1" applyBorder="1"/>
    <xf numFmtId="177" fontId="2" fillId="9" borderId="10" xfId="0" applyNumberFormat="1" applyFont="1" applyFill="1" applyBorder="1"/>
    <xf numFmtId="0" fontId="2" fillId="9" borderId="11" xfId="0" applyNumberFormat="1" applyFont="1" applyFill="1" applyBorder="1"/>
    <xf numFmtId="0" fontId="2" fillId="6" borderId="0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horizontal="left" vertical="center"/>
    </xf>
    <xf numFmtId="0" fontId="2" fillId="6" borderId="0" xfId="0" applyNumberFormat="1" applyFont="1" applyFill="1" applyBorder="1" applyAlignment="1">
      <alignment horizontal="left" vertical="center" wrapText="1"/>
    </xf>
    <xf numFmtId="0" fontId="7" fillId="4" borderId="4" xfId="0" applyNumberFormat="1" applyFont="1" applyFill="1" applyBorder="1"/>
    <xf numFmtId="0" fontId="7" fillId="4" borderId="5" xfId="0" applyNumberFormat="1" applyFont="1" applyFill="1" applyBorder="1"/>
    <xf numFmtId="0" fontId="7" fillId="4" borderId="6" xfId="0" applyNumberFormat="1" applyFont="1" applyFill="1" applyBorder="1"/>
    <xf numFmtId="0" fontId="7" fillId="4" borderId="0" xfId="0" applyNumberFormat="1" applyFont="1" applyFill="1" applyBorder="1"/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zh-CN" altLang="en-US" sz="900"/>
              <a:t>第一段 </a:t>
            </a:r>
            <a:r>
              <a:rPr lang="en-US" altLang="zh-CN" sz="900"/>
              <a:t>· 0–135</a:t>
            </a:r>
            <a:r>
              <a:rPr lang="en-US" sz="900"/>
              <a:t>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基准胃口</c:v>
          </c:tx>
          <c:marker>
            <c:symbol val="none"/>
          </c:marker>
          <c:cat>
            <c:numRef>
              <c:f>时间轴预览!$A$20:$A$30</c:f>
              <c:numCache>
                <c:formatCode>0</c:formatCode>
                <c:ptCount val="11"/>
                <c:pt idx="0">
                  <c:v>0</c:v>
                </c:pt>
                <c:pt idx="1">
                  <c:v>13.5</c:v>
                </c:pt>
                <c:pt idx="2">
                  <c:v>27</c:v>
                </c:pt>
                <c:pt idx="3">
                  <c:v>40.5</c:v>
                </c:pt>
                <c:pt idx="4">
                  <c:v>54</c:v>
                </c:pt>
                <c:pt idx="5">
                  <c:v>67.5</c:v>
                </c:pt>
                <c:pt idx="6">
                  <c:v>81</c:v>
                </c:pt>
                <c:pt idx="7">
                  <c:v>94.5</c:v>
                </c:pt>
                <c:pt idx="8">
                  <c:v>108</c:v>
                </c:pt>
                <c:pt idx="9">
                  <c:v>121.5</c:v>
                </c:pt>
                <c:pt idx="10">
                  <c:v>135</c:v>
                </c:pt>
              </c:numCache>
            </c:numRef>
          </c:cat>
          <c:val>
            <c:numRef>
              <c:f>时间轴预览!$B$20:$B$30</c:f>
              <c:numCache>
                <c:formatCode>#,##0</c:formatCode>
                <c:ptCount val="11"/>
                <c:pt idx="0">
                  <c:v>18</c:v>
                </c:pt>
                <c:pt idx="1">
                  <c:v>21</c:v>
                </c:pt>
                <c:pt idx="2">
                  <c:v>29</c:v>
                </c:pt>
                <c:pt idx="3">
                  <c:v>44</c:v>
                </c:pt>
                <c:pt idx="4">
                  <c:v>66</c:v>
                </c:pt>
                <c:pt idx="5">
                  <c:v>95</c:v>
                </c:pt>
                <c:pt idx="6">
                  <c:v>132</c:v>
                </c:pt>
                <c:pt idx="7">
                  <c:v>175</c:v>
                </c:pt>
                <c:pt idx="8">
                  <c:v>226</c:v>
                </c:pt>
                <c:pt idx="9">
                  <c:v>284</c:v>
                </c:pt>
                <c:pt idx="10">
                  <c:v>350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C81-4133-83E8-7FF329C8D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/>
                  <a:t>有效时间（秒）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/>
                  <a:t>基准胃口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zh-CN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zh-CN" altLang="en-US" sz="900"/>
              <a:t>第二段 </a:t>
            </a:r>
            <a:r>
              <a:rPr lang="en-US" altLang="zh-CN" sz="900"/>
              <a:t>· 135–300</a:t>
            </a:r>
            <a:r>
              <a:rPr lang="en-US" sz="900"/>
              <a:t>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基准胃口</c:v>
          </c:tx>
          <c:marker>
            <c:symbol val="none"/>
          </c:marker>
          <c:cat>
            <c:numRef>
              <c:f>时间轴预览!$A$35:$A$45</c:f>
              <c:numCache>
                <c:formatCode>0</c:formatCode>
                <c:ptCount val="11"/>
                <c:pt idx="0">
                  <c:v>135</c:v>
                </c:pt>
                <c:pt idx="1">
                  <c:v>151.5</c:v>
                </c:pt>
                <c:pt idx="2">
                  <c:v>168</c:v>
                </c:pt>
                <c:pt idx="3">
                  <c:v>184.5</c:v>
                </c:pt>
                <c:pt idx="4">
                  <c:v>201</c:v>
                </c:pt>
                <c:pt idx="5">
                  <c:v>217.5</c:v>
                </c:pt>
                <c:pt idx="6">
                  <c:v>234</c:v>
                </c:pt>
                <c:pt idx="7">
                  <c:v>250.5</c:v>
                </c:pt>
                <c:pt idx="8">
                  <c:v>267</c:v>
                </c:pt>
                <c:pt idx="9">
                  <c:v>283.5</c:v>
                </c:pt>
                <c:pt idx="10">
                  <c:v>300</c:v>
                </c:pt>
              </c:numCache>
            </c:numRef>
          </c:cat>
          <c:val>
            <c:numRef>
              <c:f>时间轴预览!$B$35:$B$45</c:f>
              <c:numCache>
                <c:formatCode>#,##0</c:formatCode>
                <c:ptCount val="11"/>
                <c:pt idx="0">
                  <c:v>350</c:v>
                </c:pt>
                <c:pt idx="1">
                  <c:v>370</c:v>
                </c:pt>
                <c:pt idx="2">
                  <c:v>434</c:v>
                </c:pt>
                <c:pt idx="3">
                  <c:v>547</c:v>
                </c:pt>
                <c:pt idx="4">
                  <c:v>711</c:v>
                </c:pt>
                <c:pt idx="5">
                  <c:v>927</c:v>
                </c:pt>
                <c:pt idx="6">
                  <c:v>1197</c:v>
                </c:pt>
                <c:pt idx="7">
                  <c:v>1520</c:v>
                </c:pt>
                <c:pt idx="8">
                  <c:v>1899</c:v>
                </c:pt>
                <c:pt idx="9">
                  <c:v>2334</c:v>
                </c:pt>
                <c:pt idx="10">
                  <c:v>2825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724-4D29-B83A-90FE25CDB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/>
                  <a:t>有效时间（秒）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/>
                  <a:t>基准胃口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zh-CN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zh-CN" altLang="en-US" sz="900"/>
              <a:t>第三段 </a:t>
            </a:r>
            <a:r>
              <a:rPr lang="en-US" altLang="zh-CN" sz="900"/>
              <a:t>· 300–480</a:t>
            </a:r>
            <a:r>
              <a:rPr lang="en-US" sz="900"/>
              <a:t>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基准胃口</c:v>
          </c:tx>
          <c:marker>
            <c:symbol val="none"/>
          </c:marker>
          <c:cat>
            <c:numRef>
              <c:f>时间轴预览!$A$50:$A$60</c:f>
              <c:numCache>
                <c:formatCode>0</c:formatCode>
                <c:ptCount val="11"/>
                <c:pt idx="0">
                  <c:v>300</c:v>
                </c:pt>
                <c:pt idx="1">
                  <c:v>318</c:v>
                </c:pt>
                <c:pt idx="2">
                  <c:v>336</c:v>
                </c:pt>
                <c:pt idx="3">
                  <c:v>354</c:v>
                </c:pt>
                <c:pt idx="4">
                  <c:v>372</c:v>
                </c:pt>
                <c:pt idx="5">
                  <c:v>390</c:v>
                </c:pt>
                <c:pt idx="6">
                  <c:v>408</c:v>
                </c:pt>
                <c:pt idx="7">
                  <c:v>426</c:v>
                </c:pt>
                <c:pt idx="8">
                  <c:v>444</c:v>
                </c:pt>
                <c:pt idx="9">
                  <c:v>462</c:v>
                </c:pt>
                <c:pt idx="10">
                  <c:v>480</c:v>
                </c:pt>
              </c:numCache>
            </c:numRef>
          </c:cat>
          <c:val>
            <c:numRef>
              <c:f>时间轴预览!$B$50:$B$60</c:f>
              <c:numCache>
                <c:formatCode>#,##0</c:formatCode>
                <c:ptCount val="11"/>
                <c:pt idx="0">
                  <c:v>2825</c:v>
                </c:pt>
                <c:pt idx="1">
                  <c:v>2898</c:v>
                </c:pt>
                <c:pt idx="2">
                  <c:v>3137</c:v>
                </c:pt>
                <c:pt idx="3">
                  <c:v>3557</c:v>
                </c:pt>
                <c:pt idx="4">
                  <c:v>4164</c:v>
                </c:pt>
                <c:pt idx="5">
                  <c:v>4965</c:v>
                </c:pt>
                <c:pt idx="6">
                  <c:v>5964</c:v>
                </c:pt>
                <c:pt idx="7">
                  <c:v>7163</c:v>
                </c:pt>
                <c:pt idx="8">
                  <c:v>8567</c:v>
                </c:pt>
                <c:pt idx="9">
                  <c:v>10179</c:v>
                </c:pt>
                <c:pt idx="10">
                  <c:v>12000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BE-4C4D-AD43-AB118A2AB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/>
                  <a:t>有效时间（秒）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/>
                  <a:t>基准胃口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zh-CN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18</xdr:row>
      <xdr:rowOff>0</xdr:rowOff>
    </xdr:from>
    <xdr:to>
      <xdr:col>10</xdr:col>
      <xdr:colOff>0</xdr:colOff>
      <xdr:row>31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33</xdr:row>
      <xdr:rowOff>0</xdr:rowOff>
    </xdr:from>
    <xdr:to>
      <xdr:col>10</xdr:col>
      <xdr:colOff>0</xdr:colOff>
      <xdr:row>46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48</xdr:row>
      <xdr:rowOff>0</xdr:rowOff>
    </xdr:from>
    <xdr:to>
      <xdr:col>10</xdr:col>
      <xdr:colOff>0</xdr:colOff>
      <xdr:row>61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imelineConfigTable" displayName="TimelineConfigTable" ref="A1:E21" totalsRowShown="0">
  <tableColumns count="5">
    <tableColumn id="1" xr3:uid="{00000000-0010-0000-0000-000001000000}" name="参数ID"/>
    <tableColumn id="2" xr3:uid="{00000000-0010-0000-0000-000002000000}" name="数值"/>
    <tableColumn id="3" xr3:uid="{00000000-0010-0000-0000-000003000000}" name="说明"/>
    <tableColumn id="4" xr3:uid="{00000000-0010-0000-0000-000004000000}" name="对游戏的影响"/>
    <tableColumn id="5" xr3:uid="{00000000-0010-0000-0000-000005000000}" name="修改建议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imelineEventsTable" displayName="TimelineEventsTable" ref="A1:E14" totalsRowShown="0">
  <tableColumns count="5">
    <tableColumn id="1" xr3:uid="{00000000-0010-0000-0100-000001000000}" name="路程进度"/>
    <tableColumn id="2" xr3:uid="{00000000-0010-0000-0100-000002000000}" name="事件ID"/>
    <tableColumn id="3" xr3:uid="{00000000-0010-0000-0100-000003000000}" name="类型"/>
    <tableColumn id="4" xr3:uid="{00000000-0010-0000-0100-000004000000}" name="说明"/>
    <tableColumn id="5" xr3:uid="{00000000-0010-0000-0100-000005000000}" name="前进倍率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imelineNotesTable" displayName="TimelineNotesTable" ref="A1:B10" totalsRowShown="0">
  <tableColumns count="2">
    <tableColumn id="1" xr3:uid="{00000000-0010-0000-0200-000001000000}" name="项目"/>
    <tableColumn id="2" xr3:uid="{00000000-0010-0000-0200-000002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4"/>
  <sheetViews>
    <sheetView showGridLines="0" topLeftCell="A4" workbookViewId="0">
      <selection activeCell="B20" sqref="B20"/>
    </sheetView>
  </sheetViews>
  <sheetFormatPr defaultColWidth="9" defaultRowHeight="13.8"/>
  <cols>
    <col min="1" max="1" width="19" style="7" customWidth="1"/>
    <col min="2" max="2" width="15" style="7" customWidth="1"/>
    <col min="3" max="3" width="3" style="7" customWidth="1"/>
    <col min="4" max="4" width="25" style="7" customWidth="1"/>
    <col min="5" max="5" width="15" customWidth="1"/>
    <col min="6" max="8" width="10" customWidth="1"/>
    <col min="9" max="10" width="10" style="7" customWidth="1"/>
    <col min="11" max="11" width="3" customWidth="1"/>
    <col min="12" max="12" width="13" customWidth="1"/>
    <col min="13" max="13" width="16" customWidth="1"/>
    <col min="14" max="14" width="14" customWidth="1"/>
    <col min="15" max="15" width="34" customWidth="1"/>
    <col min="16" max="16" width="12" customWidth="1"/>
    <col min="17" max="17" width="3" customWidth="1"/>
  </cols>
  <sheetData>
    <row r="1" spans="1:17" s="7" customFormat="1" ht="34.049999999999997" customHeight="1">
      <c r="A1" s="70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</row>
    <row r="2" spans="1:17" s="7" customFormat="1" ht="30" customHeight="1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</row>
    <row r="3" spans="1:17" s="7" customFormat="1" ht="24" customHeight="1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7.399999999999999">
      <c r="A4" s="72" t="s">
        <v>2</v>
      </c>
      <c r="B4" s="73"/>
      <c r="C4" s="73"/>
      <c r="D4" s="73"/>
      <c r="E4" s="74"/>
      <c r="F4" s="37"/>
      <c r="G4" s="37"/>
      <c r="H4" s="37"/>
      <c r="I4" s="37"/>
      <c r="J4" s="37"/>
      <c r="K4" s="37"/>
      <c r="L4" s="72" t="s">
        <v>3</v>
      </c>
      <c r="M4" s="73"/>
      <c r="N4" s="73"/>
      <c r="O4" s="73"/>
      <c r="P4" s="74"/>
      <c r="Q4" s="75"/>
    </row>
    <row r="5" spans="1:17" s="7" customFormat="1" ht="30" customHeight="1">
      <c r="A5" s="38" t="s">
        <v>4</v>
      </c>
      <c r="B5" s="39" t="s">
        <v>5</v>
      </c>
      <c r="C5" s="39"/>
      <c r="D5" s="39" t="s">
        <v>6</v>
      </c>
      <c r="E5" s="40" t="s">
        <v>5</v>
      </c>
      <c r="F5" s="37"/>
      <c r="G5" s="37"/>
      <c r="H5" s="37"/>
      <c r="I5" s="37"/>
      <c r="J5" s="37"/>
      <c r="K5" s="37"/>
      <c r="L5" s="51" t="s">
        <v>7</v>
      </c>
      <c r="M5" s="52" t="s">
        <v>8</v>
      </c>
      <c r="N5" s="52" t="s">
        <v>9</v>
      </c>
      <c r="O5" s="52" t="s">
        <v>10</v>
      </c>
      <c r="P5" s="53" t="s">
        <v>11</v>
      </c>
      <c r="Q5" s="37"/>
    </row>
    <row r="6" spans="1:17" s="7" customFormat="1" ht="30" customHeight="1">
      <c r="A6" s="41" t="s">
        <v>12</v>
      </c>
      <c r="B6" s="48">
        <f>配置!B4</f>
        <v>18</v>
      </c>
      <c r="C6" s="42"/>
      <c r="D6" s="43" t="s">
        <v>13</v>
      </c>
      <c r="E6" s="50">
        <f>配置!B14</f>
        <v>1310.7629999999999</v>
      </c>
      <c r="F6" s="37"/>
      <c r="G6" s="37"/>
      <c r="H6" s="37"/>
      <c r="I6" s="37"/>
      <c r="J6" s="37"/>
      <c r="K6" s="37"/>
      <c r="L6" s="65">
        <f>事件!A2</f>
        <v>0.01</v>
      </c>
      <c r="M6" s="66" t="str">
        <f>IF(事件!B2="","",事件!B2)</f>
        <v>start_gate</v>
      </c>
      <c r="N6" s="43" t="str">
        <f>事件!C2</f>
        <v>开局食材门</v>
      </c>
      <c r="O6" s="57" t="str">
        <f>事件!D2</f>
        <v>总路程0.5%处提供开局食材选择</v>
      </c>
      <c r="P6" s="54" t="str">
        <f>IF(事件!E2="","",事件!E2)</f>
        <v/>
      </c>
      <c r="Q6" s="37"/>
    </row>
    <row r="7" spans="1:17" s="7" customFormat="1" ht="15" customHeight="1">
      <c r="A7" s="41" t="s">
        <v>14</v>
      </c>
      <c r="B7" s="48">
        <f>配置!B5</f>
        <v>135</v>
      </c>
      <c r="C7" s="42"/>
      <c r="D7" s="43" t="s">
        <v>15</v>
      </c>
      <c r="E7" s="50">
        <f>配置!B17</f>
        <v>50</v>
      </c>
      <c r="F7" s="37"/>
      <c r="G7" s="37"/>
      <c r="H7" s="37"/>
      <c r="I7" s="37"/>
      <c r="J7" s="37"/>
      <c r="K7" s="37"/>
      <c r="L7" s="65">
        <f>事件!A3</f>
        <v>0.125</v>
      </c>
      <c r="M7" s="66" t="str">
        <f>IF(事件!B3="","",事件!B3)</f>
        <v>elite</v>
      </c>
      <c r="N7" s="43" t="str">
        <f>事件!C3</f>
        <v>精英</v>
      </c>
      <c r="O7" s="57" t="str">
        <f>事件!D3</f>
        <v>第一只精英</v>
      </c>
      <c r="P7" s="54" t="str">
        <f>IF(事件!E3="","",事件!E3)</f>
        <v/>
      </c>
      <c r="Q7" s="37"/>
    </row>
    <row r="8" spans="1:17" s="7" customFormat="1" ht="15" customHeight="1">
      <c r="A8" s="41" t="s">
        <v>16</v>
      </c>
      <c r="B8" s="48">
        <f>配置!B6</f>
        <v>350</v>
      </c>
      <c r="C8" s="42"/>
      <c r="D8" s="43" t="s">
        <v>17</v>
      </c>
      <c r="E8" s="50">
        <f>配置!B18</f>
        <v>250</v>
      </c>
      <c r="F8" s="37"/>
      <c r="G8" s="37"/>
      <c r="H8" s="37"/>
      <c r="I8" s="37"/>
      <c r="J8" s="37"/>
      <c r="K8" s="37"/>
      <c r="L8" s="65">
        <f>事件!A4</f>
        <v>0.1875</v>
      </c>
      <c r="M8" s="66" t="str">
        <f>IF(事件!B4="","",事件!B4)</f>
        <v/>
      </c>
      <c r="N8" s="43" t="str">
        <f>事件!C4</f>
        <v>压力</v>
      </c>
      <c r="O8" s="57" t="str">
        <f>事件!D4</f>
        <v>前进倍率提升至1.1</v>
      </c>
      <c r="P8" s="54">
        <f>IF(事件!E4="","",事件!E4)</f>
        <v>1.1000000000000001</v>
      </c>
      <c r="Q8" s="37"/>
    </row>
    <row r="9" spans="1:17" s="7" customFormat="1" ht="15" customHeight="1">
      <c r="A9" s="41" t="s">
        <v>18</v>
      </c>
      <c r="B9" s="48">
        <f>配置!B7</f>
        <v>2.1</v>
      </c>
      <c r="C9" s="42"/>
      <c r="D9" s="43" t="s">
        <v>19</v>
      </c>
      <c r="E9" s="50">
        <f>配置!B15</f>
        <v>480</v>
      </c>
      <c r="F9" s="37"/>
      <c r="G9" s="37"/>
      <c r="H9" s="37"/>
      <c r="I9" s="37"/>
      <c r="J9" s="37"/>
      <c r="K9" s="37"/>
      <c r="L9" s="65">
        <f>事件!A5</f>
        <v>0.25</v>
      </c>
      <c r="M9" s="66" t="str">
        <f>IF(事件!B5="","",事件!B5)</f>
        <v>elite</v>
      </c>
      <c r="N9" s="43" t="str">
        <f>事件!C5</f>
        <v>精英</v>
      </c>
      <c r="O9" s="57" t="str">
        <f>事件!D5</f>
        <v>第二只精英</v>
      </c>
      <c r="P9" s="54" t="str">
        <f>IF(事件!E5="","",事件!E5)</f>
        <v/>
      </c>
      <c r="Q9" s="37"/>
    </row>
    <row r="10" spans="1:17" s="7" customFormat="1" ht="15" customHeight="1">
      <c r="A10" s="41" t="s">
        <v>20</v>
      </c>
      <c r="B10" s="48">
        <f>配置!B8</f>
        <v>300</v>
      </c>
      <c r="C10" s="42"/>
      <c r="D10" s="43" t="s">
        <v>21</v>
      </c>
      <c r="E10" s="50">
        <f>配置!B16</f>
        <v>25</v>
      </c>
      <c r="F10" s="37"/>
      <c r="G10" s="37"/>
      <c r="H10" s="37"/>
      <c r="I10" s="37"/>
      <c r="J10" s="37"/>
      <c r="K10" s="37"/>
      <c r="L10" s="65">
        <f>事件!A6</f>
        <v>0.3125</v>
      </c>
      <c r="M10" s="66" t="str">
        <f>IF(事件!B6="","",事件!B6)</f>
        <v/>
      </c>
      <c r="N10" s="43" t="str">
        <f>事件!C6</f>
        <v>压力</v>
      </c>
      <c r="O10" s="57" t="str">
        <f>事件!D6</f>
        <v>前进倍率提升至1.3</v>
      </c>
      <c r="P10" s="54">
        <f>IF(事件!E6="","",事件!E6)</f>
        <v>1.3</v>
      </c>
      <c r="Q10" s="37"/>
    </row>
    <row r="11" spans="1:17" s="7" customFormat="1" ht="15" customHeight="1">
      <c r="A11" s="41" t="s">
        <v>22</v>
      </c>
      <c r="B11" s="48">
        <f>配置!B9</f>
        <v>2825</v>
      </c>
      <c r="C11" s="42"/>
      <c r="D11" s="43" t="s">
        <v>23</v>
      </c>
      <c r="E11" s="50">
        <f>COUNTA(事件!B2:B14)</f>
        <v>9</v>
      </c>
      <c r="F11" s="37"/>
      <c r="G11" s="37"/>
      <c r="H11" s="37"/>
      <c r="I11" s="37"/>
      <c r="J11" s="37"/>
      <c r="K11" s="37"/>
      <c r="L11" s="65">
        <f>事件!A7</f>
        <v>0.375</v>
      </c>
      <c r="M11" s="66" t="str">
        <f>IF(事件!B7="","",事件!B7)</f>
        <v>elite</v>
      </c>
      <c r="N11" s="43" t="str">
        <f>事件!C7</f>
        <v>精英</v>
      </c>
      <c r="O11" s="57" t="str">
        <f>事件!D7</f>
        <v>第三只精英</v>
      </c>
      <c r="P11" s="54" t="str">
        <f>IF(事件!E7="","",事件!E7)</f>
        <v/>
      </c>
      <c r="Q11" s="37"/>
    </row>
    <row r="12" spans="1:17" s="7" customFormat="1" ht="15" customHeight="1">
      <c r="A12" s="41" t="s">
        <v>24</v>
      </c>
      <c r="B12" s="48">
        <f>配置!B10</f>
        <v>2.1</v>
      </c>
      <c r="C12" s="42"/>
      <c r="D12" s="43" t="s">
        <v>25</v>
      </c>
      <c r="E12" s="50">
        <f>COUNTIF(事件!C2:C14,"精英")</f>
        <v>6</v>
      </c>
      <c r="F12" s="37"/>
      <c r="G12" s="37"/>
      <c r="H12" s="37"/>
      <c r="I12" s="37"/>
      <c r="J12" s="37"/>
      <c r="K12" s="37"/>
      <c r="L12" s="65">
        <f>事件!A8</f>
        <v>0.5</v>
      </c>
      <c r="M12" s="66" t="str">
        <f>IF(事件!B8="","",事件!B8)</f>
        <v>boss</v>
      </c>
      <c r="N12" s="43" t="str">
        <f>事件!C8</f>
        <v>Boss/压力</v>
      </c>
      <c r="O12" s="57" t="str">
        <f>事件!D8</f>
        <v>中途Boss；胜利后进入1.7倍前进</v>
      </c>
      <c r="P12" s="54">
        <f>IF(事件!E8="","",事件!E8)</f>
        <v>1.7</v>
      </c>
      <c r="Q12" s="37"/>
    </row>
    <row r="13" spans="1:17" s="7" customFormat="1" ht="15" customHeight="1">
      <c r="A13" s="41" t="s">
        <v>26</v>
      </c>
      <c r="B13" s="48">
        <f>配置!B11</f>
        <v>480</v>
      </c>
      <c r="C13" s="42"/>
      <c r="D13" s="43" t="s">
        <v>27</v>
      </c>
      <c r="E13" s="50">
        <f>COUNTIF(事件!C2:C14,"Boss")+COUNTIF(事件!C2:C14,"Boss/压力")</f>
        <v>2</v>
      </c>
      <c r="F13" s="37"/>
      <c r="G13" s="37"/>
      <c r="H13" s="37"/>
      <c r="I13" s="37"/>
      <c r="J13" s="37"/>
      <c r="K13" s="37"/>
      <c r="L13" s="65">
        <f>事件!A9</f>
        <v>0.625</v>
      </c>
      <c r="M13" s="66" t="str">
        <f>IF(事件!B9="","",事件!B9)</f>
        <v>elite</v>
      </c>
      <c r="N13" s="43" t="str">
        <f>事件!C9</f>
        <v>精英</v>
      </c>
      <c r="O13" s="57" t="str">
        <f>事件!D9</f>
        <v>第四只精英</v>
      </c>
      <c r="P13" s="54" t="str">
        <f>IF(事件!E9="","",事件!E9)</f>
        <v/>
      </c>
      <c r="Q13" s="37"/>
    </row>
    <row r="14" spans="1:17" s="7" customFormat="1" ht="15" customHeight="1">
      <c r="A14" s="41" t="s">
        <v>28</v>
      </c>
      <c r="B14" s="48">
        <f>配置!B12</f>
        <v>12000</v>
      </c>
      <c r="C14" s="42"/>
      <c r="D14" s="42"/>
      <c r="E14" s="44"/>
      <c r="F14" s="37"/>
      <c r="G14" s="37"/>
      <c r="H14" s="37"/>
      <c r="I14" s="37"/>
      <c r="J14" s="37"/>
      <c r="K14" s="37"/>
      <c r="L14" s="65">
        <f>事件!A10</f>
        <v>0.6875</v>
      </c>
      <c r="M14" s="66" t="str">
        <f>IF(事件!B10="","",事件!B10)</f>
        <v/>
      </c>
      <c r="N14" s="43" t="str">
        <f>事件!C10</f>
        <v>压力</v>
      </c>
      <c r="O14" s="57" t="str">
        <f>事件!D10</f>
        <v>前进倍率提升至2.3</v>
      </c>
      <c r="P14" s="54">
        <f>IF(事件!E10="","",事件!E10)</f>
        <v>2.2999999999999998</v>
      </c>
      <c r="Q14" s="37"/>
    </row>
    <row r="15" spans="1:17" s="7" customFormat="1" ht="15" customHeight="1">
      <c r="A15" s="45" t="s">
        <v>29</v>
      </c>
      <c r="B15" s="49">
        <f>配置!B13</f>
        <v>2.1</v>
      </c>
      <c r="C15" s="46"/>
      <c r="D15" s="46"/>
      <c r="E15" s="47"/>
      <c r="F15" s="37"/>
      <c r="G15" s="37"/>
      <c r="H15" s="37"/>
      <c r="I15" s="37"/>
      <c r="J15" s="37"/>
      <c r="K15" s="37"/>
      <c r="L15" s="65">
        <f>事件!A11</f>
        <v>0.75</v>
      </c>
      <c r="M15" s="66" t="str">
        <f>IF(事件!B11="","",事件!B11)</f>
        <v>elite</v>
      </c>
      <c r="N15" s="43" t="str">
        <f>事件!C11</f>
        <v>精英</v>
      </c>
      <c r="O15" s="57" t="str">
        <f>事件!D11</f>
        <v>第五只精英</v>
      </c>
      <c r="P15" s="54" t="str">
        <f>IF(事件!E11="","",事件!E11)</f>
        <v/>
      </c>
      <c r="Q15" s="37"/>
    </row>
    <row r="16" spans="1:17" ht="15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65">
        <f>事件!A12</f>
        <v>0.8125</v>
      </c>
      <c r="M16" s="66" t="str">
        <f>IF(事件!B12="","",事件!B12)</f>
        <v/>
      </c>
      <c r="N16" s="43" t="str">
        <f>事件!C12</f>
        <v>压力</v>
      </c>
      <c r="O16" s="57" t="str">
        <f>事件!D12</f>
        <v>前进倍率提升至3.0</v>
      </c>
      <c r="P16" s="54">
        <f>IF(事件!E12="","",事件!E12)</f>
        <v>3</v>
      </c>
      <c r="Q16" s="37"/>
    </row>
    <row r="17" spans="1:17" ht="15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65">
        <f>事件!A13</f>
        <v>0.875</v>
      </c>
      <c r="M17" s="66" t="str">
        <f>IF(事件!B13="","",事件!B13)</f>
        <v>elite</v>
      </c>
      <c r="N17" s="43" t="str">
        <f>事件!C13</f>
        <v>精英</v>
      </c>
      <c r="O17" s="57" t="str">
        <f>事件!D13</f>
        <v>第六只精英</v>
      </c>
      <c r="P17" s="54" t="str">
        <f>IF(事件!E13="","",事件!E13)</f>
        <v/>
      </c>
      <c r="Q17" s="37"/>
    </row>
    <row r="18" spans="1:17" ht="15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67">
        <f>事件!A14</f>
        <v>1</v>
      </c>
      <c r="M18" s="68" t="str">
        <f>IF(事件!B14="","",事件!B14)</f>
        <v>boss</v>
      </c>
      <c r="N18" s="55" t="str">
        <f>事件!C14</f>
        <v>Boss</v>
      </c>
      <c r="O18" s="58" t="str">
        <f>事件!D14</f>
        <v>最终Boss</v>
      </c>
      <c r="P18" s="56" t="str">
        <f>IF(事件!E14="","",事件!E14)</f>
        <v/>
      </c>
      <c r="Q18" s="37"/>
    </row>
    <row r="19" spans="1:17" ht="15.6">
      <c r="A19" s="59" t="s">
        <v>30</v>
      </c>
      <c r="B19" s="60" t="s">
        <v>31</v>
      </c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</row>
    <row r="20" spans="1:17" s="7" customFormat="1" ht="28.05" customHeight="1">
      <c r="A20" s="61">
        <f>0+(配置!$B$5-0)*0/10</f>
        <v>0</v>
      </c>
      <c r="B20" s="63">
        <f>ROUND(配置!$B$4+(配置!$B$6-配置!$B$4)*POWER((A20-0)/(配置!$B$5-0),配置!$B$7),0)</f>
        <v>18</v>
      </c>
      <c r="C20" s="37"/>
      <c r="D20" s="37"/>
      <c r="E20" s="37"/>
      <c r="F20" s="37"/>
      <c r="G20" s="37"/>
      <c r="H20" s="37"/>
      <c r="I20" s="37"/>
      <c r="J20" s="37"/>
      <c r="K20" s="37"/>
      <c r="L20" s="75" t="s">
        <v>32</v>
      </c>
      <c r="M20" s="75"/>
      <c r="N20" s="75"/>
      <c r="O20" s="75"/>
      <c r="P20" s="75"/>
      <c r="Q20" s="75"/>
    </row>
    <row r="21" spans="1:17" s="7" customFormat="1" ht="30" customHeight="1">
      <c r="A21" s="61">
        <f>0+(配置!$B$5-0)*1/10</f>
        <v>13.5</v>
      </c>
      <c r="B21" s="63">
        <f>ROUND(配置!$B$4+(配置!$B$6-配置!$B$4)*POWER((A21-0)/(配置!$B$5-0),配置!$B$7),0)</f>
        <v>21</v>
      </c>
      <c r="C21" s="37"/>
      <c r="D21" s="37"/>
      <c r="E21" s="37"/>
      <c r="F21" s="37"/>
      <c r="G21" s="37"/>
      <c r="H21" s="37"/>
      <c r="I21" s="37"/>
      <c r="J21" s="37"/>
      <c r="K21" s="37"/>
      <c r="L21" s="69" t="s">
        <v>33</v>
      </c>
      <c r="M21" s="69"/>
      <c r="N21" s="69"/>
      <c r="O21" s="69"/>
      <c r="P21" s="69"/>
      <c r="Q21" s="69"/>
    </row>
    <row r="22" spans="1:17" s="7" customFormat="1" ht="30" customHeight="1">
      <c r="A22" s="61">
        <f>0+(配置!$B$5-0)*2/10</f>
        <v>27</v>
      </c>
      <c r="B22" s="63">
        <f>ROUND(配置!$B$4+(配置!$B$6-配置!$B$4)*POWER((A22-0)/(配置!$B$5-0),配置!$B$7),0)</f>
        <v>29</v>
      </c>
      <c r="C22" s="37"/>
      <c r="D22" s="37"/>
      <c r="E22" s="37"/>
      <c r="F22" s="37"/>
      <c r="G22" s="37"/>
      <c r="H22" s="37"/>
      <c r="I22" s="37"/>
      <c r="J22" s="37"/>
      <c r="K22" s="37"/>
      <c r="L22" s="69" t="s">
        <v>34</v>
      </c>
      <c r="M22" s="69"/>
      <c r="N22" s="69"/>
      <c r="O22" s="69"/>
      <c r="P22" s="69"/>
      <c r="Q22" s="69"/>
    </row>
    <row r="23" spans="1:17" s="7" customFormat="1" ht="30" customHeight="1">
      <c r="A23" s="61">
        <f>0+(配置!$B$5-0)*3/10</f>
        <v>40.5</v>
      </c>
      <c r="B23" s="63">
        <f>ROUND(配置!$B$4+(配置!$B$6-配置!$B$4)*POWER((A23-0)/(配置!$B$5-0),配置!$B$7),0)</f>
        <v>44</v>
      </c>
      <c r="C23" s="37"/>
      <c r="D23" s="37"/>
      <c r="E23" s="37"/>
      <c r="F23" s="37"/>
      <c r="G23" s="37"/>
      <c r="H23" s="37"/>
      <c r="I23" s="37"/>
      <c r="J23" s="37"/>
      <c r="K23" s="37"/>
      <c r="L23" s="69" t="s">
        <v>35</v>
      </c>
      <c r="M23" s="69"/>
      <c r="N23" s="69"/>
      <c r="O23" s="69"/>
      <c r="P23" s="69"/>
      <c r="Q23" s="69"/>
    </row>
    <row r="24" spans="1:17" s="7" customFormat="1" ht="30" customHeight="1">
      <c r="A24" s="61">
        <f>0+(配置!$B$5-0)*4/10</f>
        <v>54</v>
      </c>
      <c r="B24" s="63">
        <f>ROUND(配置!$B$4+(配置!$B$6-配置!$B$4)*POWER((A24-0)/(配置!$B$5-0),配置!$B$7),0)</f>
        <v>66</v>
      </c>
      <c r="C24" s="37"/>
      <c r="D24" s="37"/>
      <c r="E24" s="37"/>
      <c r="F24" s="37"/>
      <c r="G24" s="37"/>
      <c r="H24" s="37"/>
      <c r="I24" s="37"/>
      <c r="J24" s="37"/>
      <c r="K24" s="37"/>
      <c r="L24" s="69" t="s">
        <v>36</v>
      </c>
      <c r="M24" s="69"/>
      <c r="N24" s="69"/>
      <c r="O24" s="69"/>
      <c r="P24" s="69"/>
      <c r="Q24" s="69"/>
    </row>
    <row r="25" spans="1:17" s="7" customFormat="1" ht="30" customHeight="1">
      <c r="A25" s="61">
        <f>0+(配置!$B$5-0)*5/10</f>
        <v>67.5</v>
      </c>
      <c r="B25" s="63">
        <f>ROUND(配置!$B$4+(配置!$B$6-配置!$B$4)*POWER((A25-0)/(配置!$B$5-0),配置!$B$7),0)</f>
        <v>95</v>
      </c>
      <c r="C25" s="37"/>
      <c r="D25" s="37"/>
      <c r="E25" s="37"/>
      <c r="F25" s="37"/>
      <c r="G25" s="37"/>
      <c r="H25" s="37"/>
      <c r="I25" s="37"/>
      <c r="J25" s="37"/>
      <c r="K25" s="37"/>
      <c r="L25" s="69" t="s">
        <v>37</v>
      </c>
      <c r="M25" s="69"/>
      <c r="N25" s="69"/>
      <c r="O25" s="69"/>
      <c r="P25" s="69"/>
      <c r="Q25" s="69"/>
    </row>
    <row r="26" spans="1:17" s="7" customFormat="1" ht="34.049999999999997" customHeight="1">
      <c r="A26" s="61">
        <f>0+(配置!$B$5-0)*6/10</f>
        <v>81</v>
      </c>
      <c r="B26" s="63">
        <f>ROUND(配置!$B$4+(配置!$B$6-配置!$B$4)*POWER((A26-0)/(配置!$B$5-0),配置!$B$7),0)</f>
        <v>132</v>
      </c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</row>
    <row r="27" spans="1:17" s="7" customFormat="1" ht="34.049999999999997" customHeight="1">
      <c r="A27" s="61">
        <f>0+(配置!$B$5-0)*7/10</f>
        <v>94.5</v>
      </c>
      <c r="B27" s="63">
        <f>ROUND(配置!$B$4+(配置!$B$6-配置!$B$4)*POWER((A27-0)/(配置!$B$5-0),配置!$B$7),0)</f>
        <v>175</v>
      </c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</row>
    <row r="28" spans="1:17" s="7" customFormat="1" ht="15" customHeight="1">
      <c r="A28" s="61">
        <f>0+(配置!$B$5-0)*8/10</f>
        <v>108</v>
      </c>
      <c r="B28" s="63">
        <f>ROUND(配置!$B$4+(配置!$B$6-配置!$B$4)*POWER((A28-0)/(配置!$B$5-0),配置!$B$7),0)</f>
        <v>226</v>
      </c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</row>
    <row r="29" spans="1:17" s="7" customFormat="1" ht="15" customHeight="1">
      <c r="A29" s="61">
        <f>0+(配置!$B$5-0)*9/10</f>
        <v>121.5</v>
      </c>
      <c r="B29" s="63">
        <f>ROUND(配置!$B$4+(配置!$B$6-配置!$B$4)*POWER((A29-0)/(配置!$B$5-0),配置!$B$7),0)</f>
        <v>284</v>
      </c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</row>
    <row r="30" spans="1:17" s="7" customFormat="1" ht="15" customHeight="1">
      <c r="A30" s="62">
        <f>0+(配置!$B$5-0)*10/10</f>
        <v>135</v>
      </c>
      <c r="B30" s="64">
        <f>ROUND(配置!$B$4+(配置!$B$6-配置!$B$4)*POWER((A30-0)/(配置!$B$5-0),配置!$B$7),0)</f>
        <v>350</v>
      </c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</row>
    <row r="31" spans="1:17" s="7" customFormat="1" ht="15" customHeight="1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</row>
    <row r="32" spans="1:17" s="7" customFormat="1" ht="15" customHeight="1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</row>
    <row r="33" spans="1:17" s="7" customFormat="1" ht="1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</row>
    <row r="34" spans="1:17" s="7" customFormat="1" ht="15" customHeight="1">
      <c r="A34" s="59" t="s">
        <v>30</v>
      </c>
      <c r="B34" s="60" t="s">
        <v>31</v>
      </c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</row>
    <row r="35" spans="1:17" s="7" customFormat="1" ht="15" customHeight="1">
      <c r="A35" s="61">
        <f>配置!$B$5+(配置!$B$8-配置!$B$5)*0/10</f>
        <v>135</v>
      </c>
      <c r="B35" s="63">
        <f>ROUND(配置!$B$6+(配置!$B$9-配置!$B$6)*POWER((A35-配置!$B$5)/(配置!$B$8-配置!$B$5),配置!$B$10),0)</f>
        <v>350</v>
      </c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</row>
    <row r="36" spans="1:17" s="7" customFormat="1" ht="15" customHeight="1">
      <c r="A36" s="61">
        <f>配置!$B$5+(配置!$B$8-配置!$B$5)*1/10</f>
        <v>151.5</v>
      </c>
      <c r="B36" s="63">
        <f>ROUND(配置!$B$6+(配置!$B$9-配置!$B$6)*POWER((A36-配置!$B$5)/(配置!$B$8-配置!$B$5),配置!$B$10),0)</f>
        <v>370</v>
      </c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</row>
    <row r="37" spans="1:17" ht="15">
      <c r="A37" s="61">
        <f>配置!$B$5+(配置!$B$8-配置!$B$5)*2/10</f>
        <v>168</v>
      </c>
      <c r="B37" s="63">
        <f>ROUND(配置!$B$6+(配置!$B$9-配置!$B$6)*POWER((A37-配置!$B$5)/(配置!$B$8-配置!$B$5),配置!$B$10),0)</f>
        <v>434</v>
      </c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</row>
    <row r="38" spans="1:17" s="7" customFormat="1" ht="28.05" customHeight="1">
      <c r="A38" s="61">
        <f>配置!$B$5+(配置!$B$8-配置!$B$5)*3/10</f>
        <v>184.5</v>
      </c>
      <c r="B38" s="63">
        <f>ROUND(配置!$B$6+(配置!$B$9-配置!$B$6)*POWER((A38-配置!$B$5)/(配置!$B$8-配置!$B$5),配置!$B$10),0)</f>
        <v>547</v>
      </c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</row>
    <row r="39" spans="1:17" s="7" customFormat="1" ht="31.95" customHeight="1">
      <c r="A39" s="61">
        <f>配置!$B$5+(配置!$B$8-配置!$B$5)*4/10</f>
        <v>201</v>
      </c>
      <c r="B39" s="63">
        <f>ROUND(配置!$B$6+(配置!$B$9-配置!$B$6)*POWER((A39-配置!$B$5)/(配置!$B$8-配置!$B$5),配置!$B$10),0)</f>
        <v>711</v>
      </c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</row>
    <row r="40" spans="1:17" s="7" customFormat="1" ht="31.95" customHeight="1">
      <c r="A40" s="61">
        <f>配置!$B$5+(配置!$B$8-配置!$B$5)*5/10</f>
        <v>217.5</v>
      </c>
      <c r="B40" s="63">
        <f>ROUND(配置!$B$6+(配置!$B$9-配置!$B$6)*POWER((A40-配置!$B$5)/(配置!$B$8-配置!$B$5),配置!$B$10),0)</f>
        <v>927</v>
      </c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</row>
    <row r="41" spans="1:17" s="7" customFormat="1" ht="31.95" customHeight="1">
      <c r="A41" s="61">
        <f>配置!$B$5+(配置!$B$8-配置!$B$5)*6/10</f>
        <v>234</v>
      </c>
      <c r="B41" s="63">
        <f>ROUND(配置!$B$6+(配置!$B$9-配置!$B$6)*POWER((A41-配置!$B$5)/(配置!$B$8-配置!$B$5),配置!$B$10),0)</f>
        <v>1197</v>
      </c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</row>
    <row r="42" spans="1:17" s="7" customFormat="1" ht="31.95" customHeight="1">
      <c r="A42" s="61">
        <f>配置!$B$5+(配置!$B$8-配置!$B$5)*7/10</f>
        <v>250.5</v>
      </c>
      <c r="B42" s="63">
        <f>ROUND(配置!$B$6+(配置!$B$9-配置!$B$6)*POWER((A42-配置!$B$5)/(配置!$B$8-配置!$B$5),配置!$B$10),0)</f>
        <v>1520</v>
      </c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</row>
    <row r="43" spans="1:17" ht="15">
      <c r="A43" s="61">
        <f>配置!$B$5+(配置!$B$8-配置!$B$5)*8/10</f>
        <v>267</v>
      </c>
      <c r="B43" s="63">
        <f>ROUND(配置!$B$6+(配置!$B$9-配置!$B$6)*POWER((A43-配置!$B$5)/(配置!$B$8-配置!$B$5),配置!$B$10),0)</f>
        <v>1899</v>
      </c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</row>
    <row r="44" spans="1:17" ht="15">
      <c r="A44" s="61">
        <f>配置!$B$5+(配置!$B$8-配置!$B$5)*9/10</f>
        <v>283.5</v>
      </c>
      <c r="B44" s="63">
        <f>ROUND(配置!$B$6+(配置!$B$9-配置!$B$6)*POWER((A44-配置!$B$5)/(配置!$B$8-配置!$B$5),配置!$B$10),0)</f>
        <v>2334</v>
      </c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</row>
    <row r="45" spans="1:17" ht="15">
      <c r="A45" s="62">
        <f>配置!$B$5+(配置!$B$8-配置!$B$5)*10/10</f>
        <v>300</v>
      </c>
      <c r="B45" s="64">
        <f>ROUND(配置!$B$6+(配置!$B$9-配置!$B$6)*POWER((A45-配置!$B$5)/(配置!$B$8-配置!$B$5),配置!$B$10),0)</f>
        <v>2825</v>
      </c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</row>
    <row r="46" spans="1:17" ht="15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</row>
    <row r="47" spans="1:17" ht="15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</row>
    <row r="48" spans="1:17" ht="15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</row>
    <row r="49" spans="1:17" ht="15.6">
      <c r="A49" s="59" t="s">
        <v>30</v>
      </c>
      <c r="B49" s="60" t="s">
        <v>31</v>
      </c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</row>
    <row r="50" spans="1:17" ht="15">
      <c r="A50" s="61">
        <f>配置!$B$8+(配置!$B$11-配置!$B$8)*0/10</f>
        <v>300</v>
      </c>
      <c r="B50" s="63">
        <f>ROUND(配置!$B$9+(配置!$B$12-配置!$B$9)*POWER((A50-配置!$B$8)/(配置!$B$11-配置!$B$8),配置!$B$13),0)</f>
        <v>2825</v>
      </c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</row>
    <row r="51" spans="1:17" ht="15">
      <c r="A51" s="61">
        <f>配置!$B$8+(配置!$B$11-配置!$B$8)*1/10</f>
        <v>318</v>
      </c>
      <c r="B51" s="63">
        <f>ROUND(配置!$B$9+(配置!$B$12-配置!$B$9)*POWER((A51-配置!$B$8)/(配置!$B$11-配置!$B$8),配置!$B$13),0)</f>
        <v>2898</v>
      </c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</row>
    <row r="52" spans="1:17" ht="15">
      <c r="A52" s="61">
        <f>配置!$B$8+(配置!$B$11-配置!$B$8)*2/10</f>
        <v>336</v>
      </c>
      <c r="B52" s="63">
        <f>ROUND(配置!$B$9+(配置!$B$12-配置!$B$9)*POWER((A52-配置!$B$8)/(配置!$B$11-配置!$B$8),配置!$B$13),0)</f>
        <v>3137</v>
      </c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</row>
    <row r="53" spans="1:17" ht="15">
      <c r="A53" s="61">
        <f>配置!$B$8+(配置!$B$11-配置!$B$8)*3/10</f>
        <v>354</v>
      </c>
      <c r="B53" s="63">
        <f>ROUND(配置!$B$9+(配置!$B$12-配置!$B$9)*POWER((A53-配置!$B$8)/(配置!$B$11-配置!$B$8),配置!$B$13),0)</f>
        <v>3557</v>
      </c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</row>
    <row r="54" spans="1:17" ht="15">
      <c r="A54" s="61">
        <f>配置!$B$8+(配置!$B$11-配置!$B$8)*4/10</f>
        <v>372</v>
      </c>
      <c r="B54" s="63">
        <f>ROUND(配置!$B$9+(配置!$B$12-配置!$B$9)*POWER((A54-配置!$B$8)/(配置!$B$11-配置!$B$8),配置!$B$13),0)</f>
        <v>4164</v>
      </c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</row>
    <row r="55" spans="1:17" ht="15">
      <c r="A55" s="61">
        <f>配置!$B$8+(配置!$B$11-配置!$B$8)*5/10</f>
        <v>390</v>
      </c>
      <c r="B55" s="63">
        <f>ROUND(配置!$B$9+(配置!$B$12-配置!$B$9)*POWER((A55-配置!$B$8)/(配置!$B$11-配置!$B$8),配置!$B$13),0)</f>
        <v>4965</v>
      </c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</row>
    <row r="56" spans="1:17" ht="15">
      <c r="A56" s="61">
        <f>配置!$B$8+(配置!$B$11-配置!$B$8)*6/10</f>
        <v>408</v>
      </c>
      <c r="B56" s="63">
        <f>ROUND(配置!$B$9+(配置!$B$12-配置!$B$9)*POWER((A56-配置!$B$8)/(配置!$B$11-配置!$B$8),配置!$B$13),0)</f>
        <v>5964</v>
      </c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</row>
    <row r="57" spans="1:17" ht="15">
      <c r="A57" s="61">
        <f>配置!$B$8+(配置!$B$11-配置!$B$8)*7/10</f>
        <v>426</v>
      </c>
      <c r="B57" s="63">
        <f>ROUND(配置!$B$9+(配置!$B$12-配置!$B$9)*POWER((A57-配置!$B$8)/(配置!$B$11-配置!$B$8),配置!$B$13),0)</f>
        <v>7163</v>
      </c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</row>
    <row r="58" spans="1:17" ht="15">
      <c r="A58" s="61">
        <f>配置!$B$8+(配置!$B$11-配置!$B$8)*8/10</f>
        <v>444</v>
      </c>
      <c r="B58" s="63">
        <f>ROUND(配置!$B$9+(配置!$B$12-配置!$B$9)*POWER((A58-配置!$B$8)/(配置!$B$11-配置!$B$8),配置!$B$13),0)</f>
        <v>8567</v>
      </c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</row>
    <row r="59" spans="1:17" ht="15">
      <c r="A59" s="61">
        <f>配置!$B$8+(配置!$B$11-配置!$B$8)*9/10</f>
        <v>462</v>
      </c>
      <c r="B59" s="63">
        <f>ROUND(配置!$B$9+(配置!$B$12-配置!$B$9)*POWER((A59-配置!$B$8)/(配置!$B$11-配置!$B$8),配置!$B$13),0)</f>
        <v>10179</v>
      </c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</row>
    <row r="60" spans="1:17" ht="15">
      <c r="A60" s="62">
        <f>配置!$B$8+(配置!$B$11-配置!$B$8)*10/10</f>
        <v>480</v>
      </c>
      <c r="B60" s="64">
        <f>ROUND(配置!$B$9+(配置!$B$12-配置!$B$9)*POWER((A60-配置!$B$8)/(配置!$B$11-配置!$B$8),配置!$B$13),0)</f>
        <v>12000</v>
      </c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</row>
    <row r="61" spans="1:17" ht="15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</row>
    <row r="62" spans="1:17" ht="15">
      <c r="A62" s="37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</row>
    <row r="63" spans="1:17" ht="15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</row>
    <row r="64" spans="1:17" ht="15">
      <c r="A64" s="37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</row>
  </sheetData>
  <mergeCells count="10">
    <mergeCell ref="A1:Q1"/>
    <mergeCell ref="A2:Q2"/>
    <mergeCell ref="A4:E4"/>
    <mergeCell ref="L4:Q4"/>
    <mergeCell ref="L20:Q20"/>
    <mergeCell ref="L21:Q21"/>
    <mergeCell ref="L22:Q22"/>
    <mergeCell ref="L23:Q23"/>
    <mergeCell ref="L24:Q24"/>
    <mergeCell ref="L25:Q25"/>
  </mergeCells>
  <phoneticPr fontId="6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"/>
  <sheetViews>
    <sheetView showGridLines="0" tabSelected="1" workbookViewId="0">
      <selection activeCell="B4" sqref="B4"/>
    </sheetView>
  </sheetViews>
  <sheetFormatPr defaultColWidth="9" defaultRowHeight="13.8"/>
  <cols>
    <col min="1" max="1" width="33" style="7" customWidth="1"/>
    <col min="2" max="2" width="32" style="7" customWidth="1"/>
    <col min="3" max="3" width="34" style="7" customWidth="1"/>
    <col min="4" max="4" width="44" style="7" customWidth="1"/>
    <col min="5" max="5" width="38" style="7" customWidth="1"/>
  </cols>
  <sheetData>
    <row r="1" spans="1:5" s="7" customFormat="1" ht="30" customHeight="1">
      <c r="A1" s="22" t="s">
        <v>38</v>
      </c>
      <c r="B1" s="23" t="s">
        <v>39</v>
      </c>
      <c r="C1" s="23" t="s">
        <v>10</v>
      </c>
      <c r="D1" s="23" t="s">
        <v>40</v>
      </c>
      <c r="E1" s="24" t="s">
        <v>41</v>
      </c>
    </row>
    <row r="2" spans="1:5" s="7" customFormat="1" ht="31.95" customHeight="1">
      <c r="A2" s="25" t="s">
        <v>42</v>
      </c>
      <c r="B2" s="26" t="s">
        <v>43</v>
      </c>
      <c r="C2" s="27" t="s">
        <v>44</v>
      </c>
      <c r="D2" s="27" t="s">
        <v>45</v>
      </c>
      <c r="E2" s="28" t="s">
        <v>46</v>
      </c>
    </row>
    <row r="3" spans="1:5" s="7" customFormat="1" ht="31.95" customHeight="1">
      <c r="A3" s="25" t="s">
        <v>47</v>
      </c>
      <c r="B3" s="33">
        <v>4</v>
      </c>
      <c r="C3" s="27" t="s">
        <v>48</v>
      </c>
      <c r="D3" s="27" t="s">
        <v>49</v>
      </c>
      <c r="E3" s="28" t="s">
        <v>46</v>
      </c>
    </row>
    <row r="4" spans="1:5" s="7" customFormat="1" ht="31.95" customHeight="1">
      <c r="A4" s="25" t="s">
        <v>50</v>
      </c>
      <c r="B4" s="34">
        <v>18</v>
      </c>
      <c r="C4" s="27" t="s">
        <v>51</v>
      </c>
      <c r="D4" s="27" t="s">
        <v>52</v>
      </c>
      <c r="E4" s="28" t="s">
        <v>53</v>
      </c>
    </row>
    <row r="5" spans="1:5" s="7" customFormat="1" ht="31.95" customHeight="1">
      <c r="A5" s="25" t="s">
        <v>54</v>
      </c>
      <c r="B5" s="34">
        <v>135</v>
      </c>
      <c r="C5" s="27" t="s">
        <v>55</v>
      </c>
      <c r="D5" s="27" t="s">
        <v>56</v>
      </c>
      <c r="E5" s="28" t="s">
        <v>57</v>
      </c>
    </row>
    <row r="6" spans="1:5" s="7" customFormat="1" ht="31.95" customHeight="1">
      <c r="A6" s="25" t="s">
        <v>58</v>
      </c>
      <c r="B6" s="34">
        <v>350</v>
      </c>
      <c r="C6" s="27" t="s">
        <v>16</v>
      </c>
      <c r="D6" s="27" t="s">
        <v>59</v>
      </c>
      <c r="E6" s="28" t="s">
        <v>60</v>
      </c>
    </row>
    <row r="7" spans="1:5" s="7" customFormat="1" ht="31.95" customHeight="1">
      <c r="A7" s="25" t="s">
        <v>61</v>
      </c>
      <c r="B7" s="34">
        <v>2.1</v>
      </c>
      <c r="C7" s="27" t="s">
        <v>62</v>
      </c>
      <c r="D7" s="27" t="s">
        <v>63</v>
      </c>
      <c r="E7" s="28" t="s">
        <v>64</v>
      </c>
    </row>
    <row r="8" spans="1:5" ht="31.95" customHeight="1">
      <c r="A8" s="29" t="s">
        <v>65</v>
      </c>
      <c r="B8" s="35">
        <v>300</v>
      </c>
      <c r="C8" s="15" t="s">
        <v>66</v>
      </c>
      <c r="D8" s="15" t="s">
        <v>67</v>
      </c>
      <c r="E8" s="30" t="s">
        <v>68</v>
      </c>
    </row>
    <row r="9" spans="1:5" ht="31.95" customHeight="1">
      <c r="A9" s="29" t="s">
        <v>69</v>
      </c>
      <c r="B9" s="35">
        <v>2825</v>
      </c>
      <c r="C9" s="15" t="s">
        <v>22</v>
      </c>
      <c r="D9" s="15" t="s">
        <v>70</v>
      </c>
      <c r="E9" s="30" t="s">
        <v>71</v>
      </c>
    </row>
    <row r="10" spans="1:5" ht="31.95" customHeight="1">
      <c r="A10" s="29" t="s">
        <v>72</v>
      </c>
      <c r="B10" s="35">
        <v>2.1</v>
      </c>
      <c r="C10" s="15" t="s">
        <v>73</v>
      </c>
      <c r="D10" s="15" t="s">
        <v>74</v>
      </c>
      <c r="E10" s="30" t="s">
        <v>64</v>
      </c>
    </row>
    <row r="11" spans="1:5" ht="31.95" customHeight="1">
      <c r="A11" s="29" t="s">
        <v>75</v>
      </c>
      <c r="B11" s="35">
        <v>480</v>
      </c>
      <c r="C11" s="15" t="s">
        <v>76</v>
      </c>
      <c r="D11" s="15" t="s">
        <v>77</v>
      </c>
      <c r="E11" s="30" t="s">
        <v>78</v>
      </c>
    </row>
    <row r="12" spans="1:5" ht="31.95" customHeight="1">
      <c r="A12" s="29" t="s">
        <v>79</v>
      </c>
      <c r="B12" s="35">
        <v>12000</v>
      </c>
      <c r="C12" s="15" t="s">
        <v>28</v>
      </c>
      <c r="D12" s="15" t="s">
        <v>80</v>
      </c>
      <c r="E12" s="30" t="s">
        <v>81</v>
      </c>
    </row>
    <row r="13" spans="1:5" ht="31.95" customHeight="1">
      <c r="A13" s="29" t="s">
        <v>82</v>
      </c>
      <c r="B13" s="35">
        <v>2.1</v>
      </c>
      <c r="C13" s="15" t="s">
        <v>83</v>
      </c>
      <c r="D13" s="15" t="s">
        <v>84</v>
      </c>
      <c r="E13" s="30" t="s">
        <v>64</v>
      </c>
    </row>
    <row r="14" spans="1:5" ht="31.95" customHeight="1">
      <c r="A14" s="29" t="s">
        <v>85</v>
      </c>
      <c r="B14" s="35">
        <v>1310.7629999999999</v>
      </c>
      <c r="C14" s="15" t="s">
        <v>86</v>
      </c>
      <c r="D14" s="15" t="s">
        <v>87</v>
      </c>
      <c r="E14" s="30" t="s">
        <v>88</v>
      </c>
    </row>
    <row r="15" spans="1:5" ht="31.95" customHeight="1">
      <c r="A15" s="29" t="s">
        <v>89</v>
      </c>
      <c r="B15" s="35">
        <v>480</v>
      </c>
      <c r="C15" s="15" t="s">
        <v>90</v>
      </c>
      <c r="D15" s="15" t="s">
        <v>91</v>
      </c>
      <c r="E15" s="30" t="s">
        <v>92</v>
      </c>
    </row>
    <row r="16" spans="1:5" ht="31.95" customHeight="1">
      <c r="A16" s="29" t="s">
        <v>93</v>
      </c>
      <c r="B16" s="35">
        <v>25</v>
      </c>
      <c r="C16" s="15" t="s">
        <v>94</v>
      </c>
      <c r="D16" s="15" t="s">
        <v>95</v>
      </c>
      <c r="E16" s="30" t="s">
        <v>96</v>
      </c>
    </row>
    <row r="17" spans="1:5" ht="31.95" customHeight="1">
      <c r="A17" s="29" t="s">
        <v>97</v>
      </c>
      <c r="B17" s="35">
        <v>50</v>
      </c>
      <c r="C17" s="15" t="s">
        <v>98</v>
      </c>
      <c r="D17" s="15" t="s">
        <v>99</v>
      </c>
      <c r="E17" s="30" t="s">
        <v>100</v>
      </c>
    </row>
    <row r="18" spans="1:5" ht="31.95" customHeight="1">
      <c r="A18" s="29" t="s">
        <v>101</v>
      </c>
      <c r="B18" s="35">
        <v>250</v>
      </c>
      <c r="C18" s="15" t="s">
        <v>102</v>
      </c>
      <c r="D18" s="15" t="s">
        <v>103</v>
      </c>
      <c r="E18" s="30" t="s">
        <v>104</v>
      </c>
    </row>
    <row r="19" spans="1:5" ht="31.95" customHeight="1">
      <c r="A19" s="29" t="s">
        <v>105</v>
      </c>
      <c r="B19" s="35">
        <v>1.25</v>
      </c>
      <c r="C19" s="15" t="s">
        <v>106</v>
      </c>
      <c r="D19" s="15" t="s">
        <v>107</v>
      </c>
      <c r="E19" s="30" t="s">
        <v>108</v>
      </c>
    </row>
    <row r="20" spans="1:5" ht="31.95" customHeight="1">
      <c r="A20" s="29" t="s">
        <v>109</v>
      </c>
      <c r="B20" s="35">
        <v>60</v>
      </c>
      <c r="C20" s="15" t="s">
        <v>110</v>
      </c>
      <c r="D20" s="15" t="s">
        <v>111</v>
      </c>
      <c r="E20" s="30" t="s">
        <v>112</v>
      </c>
    </row>
    <row r="21" spans="1:5" ht="31.95" customHeight="1">
      <c r="A21" s="31" t="s">
        <v>113</v>
      </c>
      <c r="B21" s="36">
        <v>0.8</v>
      </c>
      <c r="C21" s="20" t="s">
        <v>114</v>
      </c>
      <c r="D21" s="20" t="s">
        <v>115</v>
      </c>
      <c r="E21" s="32" t="s">
        <v>116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0"/>
  <sheetViews>
    <sheetView showGridLines="0" workbookViewId="0">
      <selection activeCell="A2" sqref="A2"/>
    </sheetView>
  </sheetViews>
  <sheetFormatPr defaultColWidth="9" defaultRowHeight="13.8"/>
  <cols>
    <col min="1" max="1" width="13" style="7" customWidth="1"/>
    <col min="2" max="2" width="16" style="7" customWidth="1"/>
    <col min="3" max="3" width="14" style="7" customWidth="1"/>
    <col min="4" max="4" width="42" style="7" customWidth="1"/>
    <col min="5" max="11" width="12" style="7" customWidth="1"/>
    <col min="12" max="14" width="14" style="7" customWidth="1"/>
  </cols>
  <sheetData>
    <row r="1" spans="1:15" s="7" customFormat="1" ht="30" customHeight="1">
      <c r="A1" s="9" t="s">
        <v>7</v>
      </c>
      <c r="B1" s="10" t="s">
        <v>8</v>
      </c>
      <c r="C1" s="10" t="s">
        <v>9</v>
      </c>
      <c r="D1" s="10" t="s">
        <v>10</v>
      </c>
      <c r="E1" s="11" t="s">
        <v>11</v>
      </c>
      <c r="F1"/>
      <c r="G1"/>
      <c r="H1"/>
      <c r="I1"/>
      <c r="J1"/>
      <c r="K1"/>
      <c r="L1"/>
      <c r="M1"/>
      <c r="N1"/>
      <c r="O1"/>
    </row>
    <row r="2" spans="1:15" s="7" customFormat="1" ht="24" customHeight="1">
      <c r="A2" s="12">
        <v>0.01</v>
      </c>
      <c r="B2" s="13" t="s">
        <v>117</v>
      </c>
      <c r="C2" s="14" t="s">
        <v>118</v>
      </c>
      <c r="D2" s="15" t="s">
        <v>119</v>
      </c>
      <c r="E2" s="16"/>
      <c r="F2"/>
      <c r="G2"/>
      <c r="H2"/>
      <c r="I2"/>
      <c r="J2"/>
      <c r="K2"/>
      <c r="L2"/>
      <c r="M2"/>
      <c r="N2"/>
    </row>
    <row r="3" spans="1:15" s="7" customFormat="1" ht="24" customHeight="1">
      <c r="A3" s="12">
        <v>0.125</v>
      </c>
      <c r="B3" s="13" t="s">
        <v>120</v>
      </c>
      <c r="C3" s="14" t="s">
        <v>121</v>
      </c>
      <c r="D3" s="15" t="s">
        <v>122</v>
      </c>
      <c r="E3" s="16"/>
      <c r="F3"/>
      <c r="G3"/>
      <c r="H3"/>
      <c r="I3"/>
      <c r="J3"/>
      <c r="K3"/>
      <c r="L3"/>
      <c r="M3"/>
      <c r="N3"/>
    </row>
    <row r="4" spans="1:15" s="7" customFormat="1" ht="24" customHeight="1">
      <c r="A4" s="12">
        <v>0.1875</v>
      </c>
      <c r="B4" s="13"/>
      <c r="C4" s="14" t="s">
        <v>123</v>
      </c>
      <c r="D4" s="15" t="s">
        <v>124</v>
      </c>
      <c r="E4" s="16">
        <v>1.1000000000000001</v>
      </c>
      <c r="F4"/>
      <c r="G4"/>
      <c r="H4"/>
      <c r="I4"/>
      <c r="J4"/>
      <c r="K4"/>
      <c r="L4"/>
      <c r="M4"/>
      <c r="N4"/>
      <c r="O4"/>
    </row>
    <row r="5" spans="1:15" s="7" customFormat="1" ht="24" customHeight="1">
      <c r="A5" s="12">
        <v>0.25</v>
      </c>
      <c r="B5" s="13" t="s">
        <v>120</v>
      </c>
      <c r="C5" s="14" t="s">
        <v>121</v>
      </c>
      <c r="D5" s="15" t="s">
        <v>125</v>
      </c>
      <c r="E5" s="16"/>
      <c r="F5"/>
      <c r="G5"/>
      <c r="H5"/>
      <c r="I5"/>
      <c r="J5"/>
      <c r="K5"/>
      <c r="L5"/>
      <c r="M5"/>
      <c r="N5"/>
    </row>
    <row r="6" spans="1:15" s="7" customFormat="1" ht="24" customHeight="1">
      <c r="A6" s="12">
        <v>0.3125</v>
      </c>
      <c r="B6" s="13"/>
      <c r="C6" s="14" t="s">
        <v>123</v>
      </c>
      <c r="D6" s="15" t="s">
        <v>126</v>
      </c>
      <c r="E6" s="16">
        <v>1.3</v>
      </c>
      <c r="F6"/>
      <c r="G6"/>
      <c r="H6"/>
      <c r="I6"/>
      <c r="J6"/>
      <c r="K6"/>
      <c r="L6"/>
      <c r="M6"/>
      <c r="N6"/>
      <c r="O6"/>
    </row>
    <row r="7" spans="1:15" s="7" customFormat="1" ht="24" customHeight="1">
      <c r="A7" s="12">
        <v>0.375</v>
      </c>
      <c r="B7" s="13" t="s">
        <v>120</v>
      </c>
      <c r="C7" s="14" t="s">
        <v>121</v>
      </c>
      <c r="D7" s="15" t="s">
        <v>127</v>
      </c>
      <c r="E7" s="16"/>
      <c r="F7"/>
      <c r="G7"/>
      <c r="H7"/>
      <c r="I7"/>
      <c r="J7"/>
      <c r="K7"/>
      <c r="L7"/>
      <c r="M7"/>
      <c r="N7"/>
    </row>
    <row r="8" spans="1:15" s="7" customFormat="1" ht="24" customHeight="1">
      <c r="A8" s="12">
        <v>0.5</v>
      </c>
      <c r="B8" s="13" t="s">
        <v>128</v>
      </c>
      <c r="C8" s="14" t="s">
        <v>129</v>
      </c>
      <c r="D8" s="15" t="s">
        <v>130</v>
      </c>
      <c r="E8" s="16">
        <v>1.7</v>
      </c>
      <c r="F8"/>
      <c r="G8"/>
      <c r="H8"/>
      <c r="I8"/>
      <c r="J8"/>
      <c r="K8"/>
      <c r="L8"/>
      <c r="M8"/>
      <c r="N8"/>
      <c r="O8"/>
    </row>
    <row r="9" spans="1:15" s="7" customFormat="1" ht="24" customHeight="1">
      <c r="A9" s="12">
        <v>0.625</v>
      </c>
      <c r="B9" s="13" t="s">
        <v>120</v>
      </c>
      <c r="C9" s="14" t="s">
        <v>121</v>
      </c>
      <c r="D9" s="15" t="s">
        <v>131</v>
      </c>
      <c r="E9" s="16"/>
      <c r="F9"/>
      <c r="G9"/>
      <c r="H9"/>
      <c r="I9"/>
      <c r="J9"/>
      <c r="K9"/>
      <c r="L9"/>
      <c r="M9"/>
      <c r="N9"/>
    </row>
    <row r="10" spans="1:15" s="7" customFormat="1" ht="24" customHeight="1">
      <c r="A10" s="12">
        <v>0.6875</v>
      </c>
      <c r="B10" s="13"/>
      <c r="C10" s="14" t="s">
        <v>123</v>
      </c>
      <c r="D10" s="15" t="s">
        <v>132</v>
      </c>
      <c r="E10" s="16">
        <v>2.2999999999999998</v>
      </c>
      <c r="F10"/>
      <c r="G10"/>
      <c r="H10"/>
      <c r="I10"/>
      <c r="J10"/>
      <c r="K10"/>
      <c r="L10"/>
      <c r="M10"/>
      <c r="N10"/>
      <c r="O10"/>
    </row>
    <row r="11" spans="1:15" s="7" customFormat="1" ht="24" customHeight="1">
      <c r="A11" s="12">
        <v>0.75</v>
      </c>
      <c r="B11" s="13" t="s">
        <v>120</v>
      </c>
      <c r="C11" s="14" t="s">
        <v>121</v>
      </c>
      <c r="D11" s="15" t="s">
        <v>133</v>
      </c>
      <c r="E11" s="16"/>
      <c r="F11"/>
      <c r="G11"/>
      <c r="H11"/>
      <c r="I11"/>
      <c r="J11"/>
      <c r="K11"/>
      <c r="L11"/>
      <c r="M11"/>
      <c r="N11"/>
    </row>
    <row r="12" spans="1:15" s="7" customFormat="1" ht="24" customHeight="1">
      <c r="A12" s="12">
        <v>0.8125</v>
      </c>
      <c r="B12" s="13"/>
      <c r="C12" s="14" t="s">
        <v>123</v>
      </c>
      <c r="D12" s="15" t="s">
        <v>134</v>
      </c>
      <c r="E12" s="16">
        <v>3</v>
      </c>
      <c r="F12"/>
      <c r="G12"/>
      <c r="H12"/>
      <c r="I12"/>
      <c r="J12"/>
      <c r="K12"/>
      <c r="L12"/>
      <c r="M12"/>
      <c r="N12"/>
      <c r="O12"/>
    </row>
    <row r="13" spans="1:15" s="7" customFormat="1" ht="24" customHeight="1">
      <c r="A13" s="12">
        <v>0.875</v>
      </c>
      <c r="B13" s="13" t="s">
        <v>120</v>
      </c>
      <c r="C13" s="14" t="s">
        <v>121</v>
      </c>
      <c r="D13" s="15" t="s">
        <v>135</v>
      </c>
      <c r="E13" s="16"/>
      <c r="F13"/>
      <c r="G13"/>
      <c r="H13"/>
      <c r="I13"/>
      <c r="J13"/>
      <c r="K13"/>
      <c r="L13"/>
      <c r="M13"/>
      <c r="N13"/>
    </row>
    <row r="14" spans="1:15" s="7" customFormat="1" ht="24" customHeight="1">
      <c r="A14" s="17">
        <v>1</v>
      </c>
      <c r="B14" s="18" t="s">
        <v>128</v>
      </c>
      <c r="C14" s="19" t="s">
        <v>136</v>
      </c>
      <c r="D14" s="20" t="s">
        <v>137</v>
      </c>
      <c r="E14" s="21"/>
      <c r="F14"/>
      <c r="G14"/>
      <c r="H14"/>
      <c r="I14"/>
      <c r="J14"/>
      <c r="K14"/>
      <c r="L14"/>
      <c r="M14"/>
      <c r="N14"/>
    </row>
    <row r="15" spans="1:15" s="7" customFormat="1" ht="31.95" customHeight="1">
      <c r="A15"/>
      <c r="B15"/>
      <c r="C15"/>
      <c r="D15"/>
      <c r="E15"/>
      <c r="F15"/>
      <c r="G15"/>
      <c r="H15"/>
      <c r="I15"/>
      <c r="J15"/>
      <c r="K15"/>
      <c r="L15"/>
      <c r="M15"/>
      <c r="N15"/>
    </row>
    <row r="16" spans="1:15" s="7" customFormat="1" ht="31.95" customHeight="1">
      <c r="A16"/>
      <c r="B16"/>
      <c r="C16"/>
      <c r="D16"/>
      <c r="E16"/>
      <c r="F16"/>
      <c r="G16"/>
      <c r="H16"/>
      <c r="I16"/>
      <c r="J16"/>
      <c r="K16"/>
      <c r="L16"/>
      <c r="M16"/>
      <c r="N16"/>
    </row>
    <row r="17" spans="1:14" s="7" customFormat="1" ht="22.05" customHeight="1">
      <c r="A17"/>
      <c r="B17"/>
      <c r="C17"/>
      <c r="D17"/>
      <c r="E17"/>
      <c r="F17"/>
      <c r="G17"/>
      <c r="H17"/>
      <c r="I17"/>
      <c r="J17"/>
      <c r="K17"/>
      <c r="L17"/>
      <c r="M17"/>
      <c r="N17"/>
    </row>
    <row r="18" spans="1:14" s="7" customFormat="1" ht="22.05" customHeight="1">
      <c r="A18"/>
      <c r="B18"/>
      <c r="C18"/>
      <c r="D18"/>
      <c r="E18"/>
      <c r="F18"/>
      <c r="G18"/>
      <c r="H18"/>
      <c r="I18"/>
      <c r="J18"/>
      <c r="K18"/>
      <c r="L18"/>
      <c r="M18"/>
      <c r="N18"/>
    </row>
    <row r="19" spans="1:14" s="7" customFormat="1" ht="22.05" customHeight="1">
      <c r="A19"/>
      <c r="B19"/>
      <c r="C19"/>
      <c r="D19"/>
      <c r="E19"/>
      <c r="F19"/>
      <c r="G19"/>
      <c r="H19"/>
      <c r="I19"/>
      <c r="J19"/>
      <c r="K19"/>
      <c r="L19"/>
      <c r="M19"/>
      <c r="N19"/>
    </row>
    <row r="20" spans="1:14" s="7" customFormat="1" ht="22.05" customHeight="1">
      <c r="A20"/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1:14" s="7" customFormat="1" ht="22.05" customHeight="1">
      <c r="A21"/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1:14" s="7" customFormat="1" ht="22.05" customHeight="1">
      <c r="A22"/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1:14" s="7" customFormat="1" ht="22.05" customHeight="1">
      <c r="A23"/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1:14" s="7" customFormat="1" ht="22.05" customHeight="1">
      <c r="A24"/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1:14" s="7" customFormat="1" ht="22.05" customHeight="1">
      <c r="A25"/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1:14" s="7" customFormat="1" ht="22.05" customHeight="1">
      <c r="A26"/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1:14" s="7" customFormat="1" ht="22.05" customHeight="1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7" customFormat="1" ht="22.05" customHeight="1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7" customFormat="1" ht="22.05" customHeight="1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7" customFormat="1" ht="22.05" customHeight="1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"/>
  <sheetViews>
    <sheetView showGridLines="0" workbookViewId="0"/>
  </sheetViews>
  <sheetFormatPr defaultColWidth="9" defaultRowHeight="13.8"/>
  <cols>
    <col min="1" max="1" width="18" style="7" customWidth="1"/>
    <col min="2" max="2" width="92" style="7" customWidth="1"/>
  </cols>
  <sheetData>
    <row r="1" spans="1:2" s="7" customFormat="1" ht="30" customHeight="1">
      <c r="A1" s="8" t="s">
        <v>138</v>
      </c>
      <c r="B1" s="8" t="s">
        <v>10</v>
      </c>
    </row>
    <row r="2" spans="1:2" s="7" customFormat="1" ht="42" customHeight="1">
      <c r="A2" s="1" t="s">
        <v>139</v>
      </c>
      <c r="B2" s="2" t="s">
        <v>140</v>
      </c>
    </row>
    <row r="3" spans="1:2" s="7" customFormat="1" ht="42" customHeight="1">
      <c r="A3" s="3" t="s">
        <v>141</v>
      </c>
      <c r="B3" s="4" t="s">
        <v>142</v>
      </c>
    </row>
    <row r="4" spans="1:2" s="7" customFormat="1" ht="42" customHeight="1">
      <c r="A4" s="3" t="s">
        <v>143</v>
      </c>
      <c r="B4" s="4" t="s">
        <v>144</v>
      </c>
    </row>
    <row r="5" spans="1:2" s="7" customFormat="1" ht="42" customHeight="1">
      <c r="A5" s="3" t="s">
        <v>145</v>
      </c>
      <c r="B5" s="4" t="s">
        <v>146</v>
      </c>
    </row>
    <row r="6" spans="1:2" s="7" customFormat="1" ht="42" customHeight="1">
      <c r="A6" s="3" t="s">
        <v>147</v>
      </c>
      <c r="B6" s="4" t="s">
        <v>148</v>
      </c>
    </row>
    <row r="7" spans="1:2" s="7" customFormat="1" ht="42" customHeight="1">
      <c r="A7" s="3" t="s">
        <v>149</v>
      </c>
      <c r="B7" s="4" t="s">
        <v>150</v>
      </c>
    </row>
    <row r="8" spans="1:2" s="7" customFormat="1" ht="42" customHeight="1">
      <c r="A8" s="3" t="s">
        <v>151</v>
      </c>
      <c r="B8" s="4" t="s">
        <v>152</v>
      </c>
    </row>
    <row r="9" spans="1:2" s="7" customFormat="1" ht="42" customHeight="1">
      <c r="A9" s="3" t="s">
        <v>153</v>
      </c>
      <c r="B9" s="4" t="s">
        <v>154</v>
      </c>
    </row>
    <row r="10" spans="1:2" s="7" customFormat="1" ht="42" customHeight="1">
      <c r="A10" s="5" t="s">
        <v>155</v>
      </c>
      <c r="B10" s="6" t="s">
        <v>156</v>
      </c>
    </row>
  </sheetData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时间轴预览</vt:lpstr>
      <vt:lpstr>配置</vt:lpstr>
      <vt:lpstr>事件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塔</cp:lastModifiedBy>
  <dcterms:modified xsi:type="dcterms:W3CDTF">2026-07-29T03:53:09Z</dcterms:modified>
</cp:coreProperties>
</file>