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44dd4e6dca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时间轴预览" sheetId="1" r:id="R8a5a50e2e9e843fc"/>
    <x:sheet xmlns:r="http://schemas.openxmlformats.org/officeDocument/2006/relationships" name="配置" sheetId="2" r:id="Rfcbd53781bbc4490"/>
    <x:sheet xmlns:r="http://schemas.openxmlformats.org/officeDocument/2006/relationships" name="事件" sheetId="3" r:id="R5834952a90784aa1"/>
    <x:sheet xmlns:r="http://schemas.openxmlformats.org/officeDocument/2006/relationships" name="说明" sheetId="4" r:id="Re3bc31067e4c4c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"/>
  </x:numFmts>
  <x:fonts count="9">
    <x:font>
      <x:sz val="11"/>
      <x:name val="Carlito"/>
    </x:font>
    <x:font>
      <x:b/>
      <x:sz val="10"/>
      <x:color rgb="FFFFFFFF"/>
      <x:name val="Microsoft YaHei"/>
    </x:font>
    <x:font>
      <x:sz val="10"/>
      <x:color rgb="FF243238"/>
      <x:name val="Microsoft YaHei"/>
    </x:font>
    <x:font>
      <x:b/>
      <x:sz val="18"/>
      <x:color rgb="FFFFFFFF"/>
      <x:name val="Microsoft YaHei"/>
    </x:font>
    <x:font>
      <x:b/>
      <x:sz val="11"/>
      <x:color rgb="FFFFFFFF"/>
      <x:name val="Microsoft YaHei"/>
    </x:font>
    <x:font>
      <x:b/>
      <x:sz val="10"/>
      <x:color rgb="FF243238"/>
      <x:name val="Microsoft YaHei"/>
    </x:font>
    <x:font>
      <x:sz val="11"/>
      <x:name val="Carlito"/>
    </x:font>
    <x:font>
      <x:sz val="9"/>
      <x:name val="Carlito"/>
    </x:font>
    <x:font>
      <x:sz val="10"/>
      <x:color rgb="FF1F2937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243238"/>
      </x:patternFill>
    </x:fill>
    <x:fill>
      <x:patternFill patternType="solid">
        <x:fgColor rgb="FFE8F3EC"/>
      </x:patternFill>
    </x:fill>
    <x:fill>
      <x:patternFill patternType="solid">
        <x:fgColor rgb="FFFFF3CD"/>
      </x:patternFill>
    </x:fill>
    <x:fill>
      <x:patternFill patternType="solid">
        <x:fgColor rgb="FFE7F0F8"/>
      </x:patternFill>
    </x:fill>
    <x:fill>
      <x:patternFill patternType="solid">
        <x:fgColor rgb="FFF5F7F6"/>
      </x:patternFill>
    </x:fill>
    <x:fill>
      <x:patternFill patternType="solid">
        <x:fgColor rgb="FF2D6F6A"/>
      </x:patternFill>
    </x:fill>
    <x:fill>
      <x:patternFill patternType="solid">
        <x:fgColor rgb="FFD9A44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</x:fills>
  <x:borders count="7">
    <x:border/>
    <x:border>
      <x:bottom style="thin">
        <x:color rgb="FFD7DDD9"/>
      </x:bottom>
    </x:border>
    <x:border>
      <x:top style="thin">
        <x:color rgb="FFD7DDD9"/>
      </x:top>
      <x:bottom style="thin">
        <x:color rgb="FFD7DDD9"/>
      </x:bottom>
    </x:border>
    <x:border>
      <x:top style="thin">
        <x:color rgb="FFD7DDD9"/>
      </x:top>
    </x:border>
    <x:border>
      <x:left style="thin">
        <x:color rgb="FFD7E3EB"/>
      </x:left>
      <x:top style="thin">
        <x:color rgb="FFD7E3EB"/>
      </x:top>
      <x:bottom style="thin">
        <x:color rgb="FFD7E3EB"/>
      </x:bottom>
    </x:border>
    <x:border>
      <x:right style="thin">
        <x:color rgb="FFD7E3EB"/>
      </x:right>
      <x:top style="thin">
        <x:color rgb="FFD7E3EB"/>
      </x:top>
      <x:bottom style="thin">
        <x:color rgb="FFD7E3EB"/>
      </x:bottom>
    </x:border>
    <x:border>
      <x:top style="thin">
        <x:color rgb="FFD7E3EB"/>
      </x:top>
      <x:bottom style="thin">
        <x:color rgb="FFD7E3EB"/>
      </x:bottom>
    </x:border>
  </x:borders>
  <x:cellStyleXfs count="2">
    <x:xf numFmtId="0" fontId="6" fillId="0" borderId="0"/>
    <x:xf numFmtId="0" fontId="6" fillId="0" borderId="0"/>
  </x:cellStyleXfs>
  <x:cellXfs count="67">
    <x:xf numFmtId="0" fontId="0" fillId="0" borderId="0" xfId="0"/>
    <x:xf numFmtId="0" fontId="1" fillId="2" borderId="0" xfId="1" applyAlignment="1">
      <x:alignment horizontal="center" vertical="center" wrapText="1"/>
    </x:xf>
    <x:xf numFmtId="0" fontId="2" fillId="3" borderId="1" xfId="1" applyAlignment="1">
      <x:alignment vertical="center"/>
    </x:xf>
    <x:xf numFmtId="0" fontId="2" fillId="0" borderId="1" xfId="1" applyAlignment="1">
      <x:alignment vertical="center" wrapText="1"/>
    </x:xf>
    <x:xf numFmtId="0" fontId="2" fillId="3" borderId="2" xfId="1" applyAlignment="1">
      <x:alignment vertical="center"/>
    </x:xf>
    <x:xf numFmtId="0" fontId="2" fillId="0" borderId="2" xfId="1" applyAlignment="1">
      <x:alignment vertical="center" wrapText="1"/>
    </x:xf>
    <x:xf numFmtId="0" fontId="2" fillId="3" borderId="3" xfId="1" applyAlignment="1">
      <x:alignment vertical="center"/>
    </x:xf>
    <x:xf numFmtId="0" fontId="2" fillId="0" borderId="3" xfId="1" applyAlignment="1">
      <x:alignment vertical="center" wrapText="1"/>
    </x:xf>
    <x:xf numFmtId="164" fontId="2" fillId="4" borderId="1" xfId="1" applyAlignment="1">
      <x:alignment vertical="center"/>
    </x:xf>
    <x:xf numFmtId="0" fontId="2" fillId="4" borderId="1" xfId="1" applyAlignment="1">
      <x:alignment vertical="center"/>
    </x:xf>
    <x:xf numFmtId="0" fontId="2" fillId="3" borderId="1" xfId="1" applyAlignment="1">
      <x:alignment vertical="center" wrapText="1"/>
    </x:xf>
    <x:xf numFmtId="1" fontId="2" fillId="5" borderId="1" xfId="1" applyAlignment="1">
      <x:alignment vertical="center"/>
    </x:xf>
    <x:xf numFmtId="164" fontId="2" fillId="4" borderId="2" xfId="1" applyAlignment="1">
      <x:alignment vertical="center"/>
    </x:xf>
    <x:xf numFmtId="0" fontId="2" fillId="4" borderId="2" xfId="1" applyAlignment="1">
      <x:alignment vertical="center"/>
    </x:xf>
    <x:xf numFmtId="0" fontId="2" fillId="3" borderId="2" xfId="1" applyAlignment="1">
      <x:alignment vertical="center" wrapText="1"/>
    </x:xf>
    <x:xf numFmtId="1" fontId="2" fillId="5" borderId="2" xfId="1" applyAlignment="1">
      <x:alignment vertical="center"/>
    </x:xf>
    <x:xf numFmtId="164" fontId="2" fillId="4" borderId="3" xfId="1" applyAlignment="1">
      <x:alignment vertical="center"/>
    </x:xf>
    <x:xf numFmtId="0" fontId="2" fillId="4" borderId="3" xfId="1" applyAlignment="1">
      <x:alignment vertical="center"/>
    </x:xf>
    <x:xf numFmtId="0" fontId="2" fillId="3" borderId="3" xfId="1" applyAlignment="1">
      <x:alignment vertical="center" wrapText="1"/>
    </x:xf>
    <x:xf numFmtId="1" fontId="2" fillId="5" borderId="3" xfId="1" applyAlignment="1">
      <x:alignment vertical="center"/>
    </x:xf>
    <x:xf numFmtId="0" fontId="2" fillId="0" borderId="1" xfId="1" applyAlignment="1">
      <x:alignment vertical="center"/>
    </x:xf>
    <x:xf numFmtId="0" fontId="2" fillId="0" borderId="2" xfId="1" applyAlignment="1">
      <x:alignment vertical="center"/>
    </x:xf>
    <x:xf numFmtId="2" fontId="2" fillId="4" borderId="2" xfId="1" applyAlignment="1">
      <x:alignment vertical="center"/>
    </x:xf>
    <x:xf numFmtId="0" fontId="2" fillId="0" borderId="3" xfId="1" applyAlignment="1">
      <x:alignment vertical="center"/>
    </x:xf>
    <x:xf numFmtId="2" fontId="2" fillId="4" borderId="3" xfId="1" applyAlignment="1">
      <x:alignment vertical="center"/>
    </x:xf>
    <x:xf numFmtId="164" fontId="2" fillId="5" borderId="1" xfId="1" applyAlignment="1">
      <x:alignment vertical="center"/>
    </x:xf>
    <x:xf numFmtId="2" fontId="2" fillId="5" borderId="1" xfId="1" applyAlignment="1">
      <x:alignment vertical="center"/>
    </x:xf>
    <x:xf numFmtId="164" fontId="2" fillId="5" borderId="2" xfId="1" applyAlignment="1">
      <x:alignment vertical="center"/>
    </x:xf>
    <x:xf numFmtId="2" fontId="2" fillId="5" borderId="2" xfId="1" applyAlignment="1">
      <x:alignment vertical="center"/>
    </x:xf>
    <x:xf numFmtId="2" fontId="2" fillId="5" borderId="3" xfId="1" applyAlignment="1">
      <x:alignment vertical="center"/>
    </x:xf>
    <x:xf numFmtId="164" fontId="2" fillId="5" borderId="3" xfId="1" applyAlignment="1">
      <x:alignment vertical="center"/>
    </x:xf>
    <x:xf numFmtId="0" fontId="2" fillId="5" borderId="1" xfId="1" applyAlignment="1">
      <x:alignment vertical="center"/>
    </x:xf>
    <x:xf numFmtId="0" fontId="5" fillId="3" borderId="0" xfId="1" applyAlignment="1">
      <x:alignment vertical="center"/>
    </x:xf>
    <x:xf numFmtId="0" fontId="2" fillId="5" borderId="2" xfId="1" applyAlignment="1">
      <x:alignment vertical="center"/>
    </x:xf>
    <x:xf numFmtId="0" fontId="2" fillId="5" borderId="3" xfId="1" applyAlignment="1">
      <x:alignment vertical="center"/>
    </x:xf>
    <x:xf numFmtId="0" fontId="5" fillId="8" borderId="0" xfId="1" applyAlignment="1">
      <x:alignment horizontal="center" vertical="center"/>
    </x:xf>
    <x:xf numFmtId="0" fontId="3" fillId="2" borderId="0" xfId="1" applyAlignment="1">
      <x:alignment vertical="center"/>
    </x:xf>
    <x:xf numFmtId="0" fontId="4" fillId="7" borderId="0" xfId="1" applyAlignment="1">
      <x:alignment vertical="center"/>
    </x:xf>
    <x:xf numFmtId="0" fontId="1" fillId="2" borderId="0" xfId="1" applyAlignment="1">
      <x:alignment horizontal="center" vertical="center" wrapText="1"/>
    </x:xf>
    <x:xf numFmtId="0" fontId="2" fillId="6" borderId="0" xfId="1" applyAlignment="1">
      <x:alignment vertical="center" wrapText="1"/>
    </x:xf>
    <x:xf numFmtId="164" fontId="2" fillId="5" borderId="1" xfId="1" applyAlignment="1">
      <x:alignment vertical="center"/>
    </x:xf>
    <x:xf numFmtId="164" fontId="2" fillId="5" borderId="2" xfId="1" applyAlignment="1">
      <x:alignment vertical="center"/>
    </x:xf>
    <x:xf numFmtId="164" fontId="2" fillId="5" borderId="3" xfId="1" applyAlignment="1">
      <x:alignment vertical="center"/>
    </x:xf>
    <x:xf numFmtId="164" fontId="2" fillId="4" borderId="1" xfId="1" applyAlignment="1">
      <x:alignment vertical="center"/>
    </x:xf>
    <x:xf numFmtId="164" fontId="2" fillId="4" borderId="2" xfId="1" applyAlignment="1">
      <x:alignment vertical="center"/>
    </x:xf>
    <x:xf numFmtId="164" fontId="2" fillId="4" borderId="3" xfId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4" xfId="0" applyNumberFormat="1" applyFont="1" applyFill="1" applyBorder="1"/>
    <x:xf numFmtId="0" fontId="8" fillId="9" borderId="5" xfId="0" applyNumberFormat="1" applyFont="1" applyFill="1" applyBorder="1"/>
    <x:xf numFmtId="0" fontId="8" fillId="9" borderId="4" xfId="0" applyNumberFormat="1" applyFont="1" applyFill="1" applyBorder="1" applyAlignment="1">
      <x:alignment vertical="center"/>
    </x:xf>
    <x:xf numFmtId="0" fontId="8" fillId="9" borderId="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4" xfId="0" applyNumberFormat="1" applyFont="1" applyFill="1" applyBorder="1"/>
    <x:xf numFmtId="0" fontId="8" fillId="10" borderId="5" xfId="0" applyNumberFormat="1" applyFont="1" applyFill="1" applyBorder="1"/>
    <x:xf numFmtId="0" fontId="8" fillId="10" borderId="4" xfId="0" applyNumberFormat="1" applyFont="1" applyFill="1" applyBorder="1" applyAlignment="1">
      <x:alignment vertical="center"/>
    </x:xf>
    <x:xf numFmtId="0" fontId="8" fillId="10" borderId="5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4" xfId="0" applyNumberFormat="1" applyFont="1" applyFill="1" applyBorder="1"/>
    <x:xf numFmtId="0" fontId="8" fillId="11" borderId="6" xfId="0" applyNumberFormat="1" applyFont="1" applyFill="1" applyBorder="1"/>
    <x:xf numFmtId="0" fontId="8" fillId="11" borderId="5" xfId="0" applyNumberFormat="1" applyFont="1" applyFill="1" applyBorder="1"/>
    <x:xf numFmtId="0" fontId="8" fillId="11" borderId="4" xfId="0" applyNumberFormat="1" applyFont="1" applyFill="1" applyBorder="1" applyAlignment="1">
      <x:alignment vertical="center"/>
    </x:xf>
    <x:xf numFmtId="0" fontId="8" fillId="11" borderId="6" xfId="0" applyNumberFormat="1" applyFont="1" applyFill="1" applyBorder="1" applyAlignment="1">
      <x:alignment vertical="center"/>
    </x:xf>
    <x:xf numFmtId="0" fontId="8" fillId="11" borderId="5" xfId="0" applyNumberFormat="1" applyFont="1" applyFill="1" applyBorder="1" applyAlignment="1">
      <x:alignment vertical="center"/>
    </x:xf>
    <x:xf numFmtId="164" fontId="8" fillId="9" borderId="4" xfId="0" applyNumberFormat="1" applyFont="1" applyFill="1" applyBorder="1" applyAlignment="1">
      <x:alignment vertical="center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e275b201244fc3" /><Relationship Type="http://schemas.openxmlformats.org/officeDocument/2006/relationships/theme" Target="/xl/theme/theme1.xml" Id="R7f297cd02edb4675" /><Relationship Type="http://schemas.openxmlformats.org/officeDocument/2006/relationships/sharedStrings" Target="/xl/sharedStrings.xml" Id="R58eed9a1a3754faa" /><Relationship Type="http://schemas.openxmlformats.org/officeDocument/2006/relationships/worksheet" Target="/xl/worksheets/sheet1.xml" Id="R8a5a50e2e9e843fc" /><Relationship Type="http://schemas.openxmlformats.org/officeDocument/2006/relationships/worksheet" Target="/xl/worksheets/sheet2.xml" Id="Rfcbd53781bbc4490" /><Relationship Type="http://schemas.openxmlformats.org/officeDocument/2006/relationships/worksheet" Target="/xl/worksheets/sheet3.xml" Id="R5834952a90784aa1" /><Relationship Type="http://schemas.openxmlformats.org/officeDocument/2006/relationships/worksheet" Target="/xl/worksheets/sheet4.xml" Id="Re3bc31067e4c4c5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4cb50b2110416d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基准胃口随时间增长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plotArea>
      <c:lineChart>
        <c:grouping val="standard"/>
        <c:varyColors val="1"/>
        <c:ser>
          <c:idx val="0"/>
          <c:order val="0"/>
          <c:tx>
            <c:v>基准胃口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dPt>
            <c:idx val="0"/>
            <c:spPr>
              <a:ln xmlns:a="http://schemas.openxmlformats.org/drawingml/2006/main">
                <a:prstDash val="solid"/>
              </a:ln>
            </c:spPr>
          </c:dPt>
          <c:dPt>
            <c:idx val="1"/>
            <c:spPr>
              <a:ln xmlns:a="http://schemas.openxmlformats.org/drawingml/2006/main">
                <a:prstDash val="solid"/>
              </a:ln>
            </c:spPr>
          </c:dPt>
          <c:dPt>
            <c:idx val="2"/>
            <c:spPr>
              <a:ln xmlns:a="http://schemas.openxmlformats.org/drawingml/2006/main">
                <a:prstDash val="solid"/>
              </a:ln>
            </c:spPr>
          </c:dPt>
          <c:dPt>
            <c:idx val="3"/>
            <c:spPr>
              <a:ln xmlns:a="http://schemas.openxmlformats.org/drawingml/2006/main">
                <a:prstDash val="solid"/>
              </a:ln>
            </c:spPr>
          </c:dPt>
          <c:dPt>
            <c:idx val="4"/>
            <c:spPr>
              <a:ln xmlns:a="http://schemas.openxmlformats.org/drawingml/2006/main">
                <a:prstDash val="solid"/>
              </a:ln>
            </c:spPr>
          </c:dPt>
          <c:dPt>
            <c:idx val="5"/>
            <c:spPr>
              <a:ln xmlns:a="http://schemas.openxmlformats.org/drawingml/2006/main">
                <a:prstDash val="solid"/>
              </a:ln>
            </c:spPr>
          </c:dPt>
          <c:dPt>
            <c:idx val="6"/>
            <c:spPr>
              <a:ln xmlns:a="http://schemas.openxmlformats.org/drawingml/2006/main">
                <a:prstDash val="solid"/>
              </a:ln>
            </c:spPr>
          </c:dPt>
          <c:dPt>
            <c:idx val="7"/>
            <c:spPr>
              <a:ln xmlns:a="http://schemas.openxmlformats.org/drawingml/2006/main">
                <a:prstDash val="solid"/>
              </a:ln>
            </c:spPr>
          </c:dPt>
          <c:dPt>
            <c:idx val="8"/>
            <c:spPr>
              <a:ln xmlns:a="http://schemas.openxmlformats.org/drawingml/2006/main">
                <a:prstDash val="solid"/>
              </a:ln>
            </c:spPr>
          </c:dPt>
          <c:dPt>
            <c:idx val="9"/>
            <c:spPr>
              <a:ln xmlns:a="http://schemas.openxmlformats.org/drawingml/2006/main">
                <a:prstDash val="solid"/>
              </a:ln>
            </c:spPr>
          </c:dPt>
          <c:cat>
            <c:numRef>
              <c:f>时间轴预览!$H$6:$H$15</c:f>
              <c:numCache>
                <c:formatCode>0.0</c:formatCode>
                <c:ptCount val="10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</c:numCache>
            </c:numRef>
          </c:cat>
          <c:val>
            <c:numRef>
              <c:f>时间轴预览!$I$6:$I$15</c:f>
              <c:numCache>
                <c:formatCode>0</c:formatCode>
                <c:ptCount val="10"/>
                <c:pt idx="0">
                  <c:v>15</c:v>
                </c:pt>
                <c:pt idx="1">
                  <c:v>18</c:v>
                </c:pt>
                <c:pt idx="2">
                  <c:v>29</c:v>
                </c:pt>
                <c:pt idx="3">
                  <c:v>48</c:v>
                </c:pt>
                <c:pt idx="4">
                  <c:v>76</c:v>
                </c:pt>
                <c:pt idx="5">
                  <c:v>112</c:v>
                </c:pt>
                <c:pt idx="6">
                  <c:v>158</c:v>
                </c:pt>
                <c:pt idx="7">
                  <c:v>213</c:v>
                </c:pt>
                <c:pt idx="8">
                  <c:v>277</c:v>
                </c:pt>
                <c:pt idx="9">
                  <c:v>350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时间（秒）</a:t>
                </a:r>
              </a:p>
            </c:rich>
          </c:tx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.0" sourceLinked="1"/>
        <c:majorTickMark val="none"/>
        <c:minorTickMark val="none"/>
        <c:tickLblPos val="nextTo"/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基准胃口</a:t>
                </a:r>
              </a:p>
            </c:rich>
          </c:tx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" sourceLinked="1"/>
        <c:majorTickMark val="none"/>
        <c:minorTickMark val="none"/>
        <c:tickLblPos val="nextTo"/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4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4cb50b2110416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imelineConfigTable" displayName="TimelineConfigTable" ref="A1:E7" headerRowCount="1" totalsRowShown="0">
  <x:tableColumns count="5">
    <x:tableColumn id="1" name="参数ID"/>
    <x:tableColumn id="2" name="数值"/>
    <x:tableColumn id="3" name="说明"/>
    <x:tableColumn id="4" name="对游戏的影响"/>
    <x:tableColumn id="5" name="修改建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melineEventsTable" displayName="TimelineEventsTable" ref="A1:N16" headerRowCount="1" totalsRowShown="0">
  <x:tableColumns count="14">
    <x:tableColumn id="1" name="请求时间(s)"/>
    <x:tableColumn id="2" name="事件ID"/>
    <x:tableColumn id="3" name="类型"/>
    <x:tableColumn id="4" name="说明"/>
    <x:tableColumn id="5" name="基准胃口">
      <x:calculatedColumnFormula>ROUND(配置!$B$4+(配置!$B$5-配置!$B$4)*POWER(MIN(MAX(A2/配置!$B$6,0),1),配置!$B$7),0)</x:calculatedColumnFormula>
    </x:tableColumn>
    <x:tableColumn id="6" name="普通p0">
      <x:calculatedColumnFormula>ROUND(E2,0)</x:calculatedColumnFormula>
    </x:tableColumn>
    <x:tableColumn id="7" name="普通p1">
      <x:calculatedColumnFormula>ROUND(E2*2,0)</x:calculatedColumnFormula>
    </x:tableColumn>
    <x:tableColumn id="8" name="快速p0">
      <x:calculatedColumnFormula>ROUND(E2*0.75,0)</x:calculatedColumnFormula>
    </x:tableColumn>
    <x:tableColumn id="9" name="快速p1">
      <x:calculatedColumnFormula>ROUND(E2*1.5,0)</x:calculatedColumnFormula>
    </x:tableColumn>
    <x:tableColumn id="10" name="远程p0">
      <x:calculatedColumnFormula>ROUND(E2*1.5,0)</x:calculatedColumnFormula>
    </x:tableColumn>
    <x:tableColumn id="11" name="远程p1">
      <x:calculatedColumnFormula>ROUND(E2*3,0)</x:calculatedColumnFormula>
    </x:tableColumn>
    <x:tableColumn id="12" name="精英胃口">
      <x:calculatedColumnFormula>ROUND(E2*5.625,0)</x:calculatedColumnFormula>
    </x:tableColumn>
    <x:tableColumn id="13" name="门基础最低">
      <x:calculatedColumnFormula>ROUND(E2,0)</x:calculatedColumnFormula>
    </x:tableColumn>
    <x:tableColumn id="14" name="门基础最高">
      <x:calculatedColumnFormula>ROUND(E2*2,0)</x:calculatedColumnFormula>
    </x:tableColumn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imelineNotesTable" displayName="TimelineNotesTable" ref="A1:B10" headerRowCount="1" totalsRowShown="0">
  <x:tableColumns count="2">
    <x:tableColumn id="1" name="项目"/>
    <x:tableColumn id="2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e60e3fab3494d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4b974faccb94b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72ae3f6cf043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cc37d24b2343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.399999618530273"/>
  <x:cols>
    <x:col min="1" max="1" width="16" customWidth="1"/>
    <x:col min="2" max="2" width="23" customWidth="1"/>
    <x:col min="3" max="3" width="16" customWidth="1"/>
    <x:col min="4" max="4" width="15" customWidth="1"/>
    <x:col min="5" max="8" width="14" customWidth="1"/>
    <x:col min="9" max="9" width="17" customWidth="1"/>
    <x:col min="10" max="10" width="16" customWidth="1"/>
    <x:col min="11" max="17" width="13" customWidth="1"/>
  </x:cols>
  <x:sheetData>
    <x:row r="1" ht="37.95000076293945" customHeight="1">
      <x:c r="A1" s="36" t="inlineStr">
        <x:is>
          <x:t xml:space="preserve">小厨西 · 时间轴策划预览</x:t>
        </x:is>
      </x:c>
    </x:row>
    <x:row r="2" ht="24" customHeight="1">
      <x:c r="A2" s="39" t="inlineStr">
        <x:is>
          <x:t xml:space="preserve">黄色单元格在“配置 / 事件”页修改；本页全部自动联动。曲线表示全局基准胃口，实际食客胃口还会乘类型倍率与奖励百分位；事件时间是请求时刻，生成安全距离不足时可能顺延。</x:t>
        </x:is>
      </x:c>
    </x:row>
    <x:row r="3" ht="24" customHeight="1"/>
    <x:row r="5" ht="30" customHeight="1">
      <x:c r="A5" s="37" t="inlineStr">
        <x:is>
          <x:t xml:space="preserve">核心曲线参数</x:t>
        </x:is>
      </x:c>
      <x:c r="H5" s="38" t="inlineStr">
        <x:is>
          <x:t xml:space="preserve">时间(s)</x:t>
        </x:is>
      </x:c>
      <x:c r="I5" s="38" t="inlineStr">
        <x:is>
          <x:t xml:space="preserve">基准胃口</x:t>
        </x:is>
      </x:c>
    </x:row>
    <x:row r="6" ht="30" customHeight="1">
      <x:c r="A6" s="38" t="inlineStr">
        <x:is>
          <x:t xml:space="preserve">参数</x:t>
        </x:is>
      </x:c>
      <x:c r="B6" s="38" t="inlineStr">
        <x:is>
          <x:t xml:space="preserve">当前值</x:t>
        </x:is>
      </x:c>
      <x:c r="D6" s="38" t="inlineStr">
        <x:is>
          <x:t xml:space="preserve">事件概览</x:t>
        </x:is>
      </x:c>
      <x:c r="E6" s="38" t="inlineStr">
        <x:is>
          <x:t xml:space="preserve">当前值</x:t>
        </x:is>
      </x:c>
      <x:c r="H6" s="40" t="e">
        <x:f>配置!$B$6*0/9</x:f>
        <x:v>#NAME?</x:v>
      </x:c>
      <x:c r="I6" s="11" t="e">
        <x:f>ROUND(配置!$B$4+(配置!$B$5-配置!$B$4)*POWER(MIN(MAX(H6/配置!$B$6,0),1),配置!$B$7),0)</x:f>
        <x:v>#NAME?</x:v>
      </x:c>
    </x:row>
    <x:row r="7" ht="15" customHeight="1">
      <x:c r="A7" s="20" t="inlineStr">
        <x:is>
          <x:t xml:space="preserve">起始胃口</x:t>
        </x:is>
      </x:c>
      <x:c r="B7" s="26" t="e">
        <x:f>配置!B4</x:f>
        <x:v>#NAME?</x:v>
      </x:c>
      <x:c r="D7" s="20" t="inlineStr">
        <x:is>
          <x:t xml:space="preserve">显式事件数</x:t>
        </x:is>
      </x:c>
      <x:c r="E7" s="40" t="e">
        <x:f>COUNTA(事件!B2:B100)</x:f>
        <x:v>#NAME?</x:v>
      </x:c>
      <x:c r="H7" s="41" t="e">
        <x:f>配置!$B$6*1/9</x:f>
        <x:v>#NAME?</x:v>
      </x:c>
      <x:c r="I7" s="15" t="e">
        <x:f>ROUND(配置!$B$4+(配置!$B$5-配置!$B$4)*POWER(MIN(MAX(H7/配置!$B$6,0),1),配置!$B$7),0)</x:f>
        <x:v>#NAME?</x:v>
      </x:c>
    </x:row>
    <x:row r="8" ht="15" customHeight="1">
      <x:c r="A8" s="21" t="inlineStr">
        <x:is>
          <x:t xml:space="preserve">结束胃口</x:t>
        </x:is>
      </x:c>
      <x:c r="B8" s="28" t="e">
        <x:f>配置!B5</x:f>
        <x:v>#NAME?</x:v>
      </x:c>
      <x:c r="D8" s="21" t="inlineStr">
        <x:is>
          <x:t xml:space="preserve">普通强化门数</x:t>
        </x:is>
      </x:c>
      <x:c r="E8" s="41" t="e">
        <x:f>COUNTIF(事件!C2:C100,"普通强化门")</x:f>
        <x:v>#NAME?</x:v>
      </x:c>
      <x:c r="H8" s="41" t="e">
        <x:f>配置!$B$6*2/9</x:f>
        <x:v>#NAME?</x:v>
      </x:c>
      <x:c r="I8" s="15" t="e">
        <x:f>ROUND(配置!$B$4+(配置!$B$5-配置!$B$4)*POWER(MIN(MAX(H8/配置!$B$6,0),1),配置!$B$7),0)</x:f>
        <x:v>#NAME?</x:v>
      </x:c>
    </x:row>
    <x:row r="9" ht="15" customHeight="1">
      <x:c r="A9" s="21" t="inlineStr">
        <x:is>
          <x:t xml:space="preserve">增长结束时间(s)</x:t>
        </x:is>
      </x:c>
      <x:c r="B9" s="28" t="e">
        <x:f>配置!B6</x:f>
        <x:v>#NAME?</x:v>
      </x:c>
      <x:c r="D9" s="21" t="inlineStr">
        <x:is>
          <x:t xml:space="preserve">精英请求时间(s)</x:t>
        </x:is>
      </x:c>
      <x:c r="E9" s="41" t="e">
        <x:f>SUMIF(事件!B2:B100,"elite",事件!A2:A100)</x:f>
        <x:v>#NAME?</x:v>
      </x:c>
      <x:c r="H9" s="41" t="e">
        <x:f>配置!$B$6*3/9</x:f>
        <x:v>#NAME?</x:v>
      </x:c>
      <x:c r="I9" s="15" t="e">
        <x:f>ROUND(配置!$B$4+(配置!$B$5-配置!$B$4)*POWER(MIN(MAX(H9/配置!$B$6,0),1),配置!$B$7),0)</x:f>
        <x:v>#NAME?</x:v>
      </x:c>
    </x:row>
    <x:row r="10" ht="15" customHeight="1">
      <x:c r="A10" s="23" t="inlineStr">
        <x:is>
          <x:t xml:space="preserve">增长指数</x:t>
        </x:is>
      </x:c>
      <x:c r="B10" s="29" t="e">
        <x:f>配置!B7</x:f>
        <x:v>#NAME?</x:v>
      </x:c>
      <x:c r="D10" s="23" t="inlineStr">
        <x:is>
          <x:t xml:space="preserve">Boss 请求时间(s)</x:t>
        </x:is>
      </x:c>
      <x:c r="E10" s="42" t="e">
        <x:f>SUMIF(事件!B2:B100,"boss",事件!A2:A100)</x:f>
        <x:v>#NAME?</x:v>
      </x:c>
      <x:c r="H10" s="41" t="e">
        <x:f>配置!$B$6*4/9</x:f>
        <x:v>#NAME?</x:v>
      </x:c>
      <x:c r="I10" s="15" t="e">
        <x:f>ROUND(配置!$B$4+(配置!$B$5-配置!$B$4)*POWER(MIN(MAX(H10/配置!$B$6,0),1),配置!$B$7),0)</x:f>
        <x:v>#NAME?</x:v>
      </x:c>
    </x:row>
    <x:row r="11" ht="15" customHeight="1">
      <x:c r="H11" s="41" t="e">
        <x:f>配置!$B$6*5/9</x:f>
        <x:v>#NAME?</x:v>
      </x:c>
      <x:c r="I11" s="15" t="e">
        <x:f>ROUND(配置!$B$4+(配置!$B$5-配置!$B$4)*POWER(MIN(MAX(H11/配置!$B$6,0),1),配置!$B$7),0)</x:f>
        <x:v>#NAME?</x:v>
      </x:c>
    </x:row>
    <x:row r="12" ht="15" customHeight="1">
      <x:c r="H12" s="41" t="e">
        <x:f>配置!$B$6*6/9</x:f>
        <x:v>#NAME?</x:v>
      </x:c>
      <x:c r="I12" s="15" t="e">
        <x:f>ROUND(配置!$B$4+(配置!$B$5-配置!$B$4)*POWER(MIN(MAX(H12/配置!$B$6,0),1),配置!$B$7),0)</x:f>
        <x:v>#NAME?</x:v>
      </x:c>
    </x:row>
    <x:row r="13" ht="15" customHeight="1">
      <x:c r="H13" s="41" t="e">
        <x:f>配置!$B$6*7/9</x:f>
        <x:v>#NAME?</x:v>
      </x:c>
      <x:c r="I13" s="15" t="e">
        <x:f>ROUND(配置!$B$4+(配置!$B$5-配置!$B$4)*POWER(MIN(MAX(H13/配置!$B$6,0),1),配置!$B$7),0)</x:f>
        <x:v>#NAME?</x:v>
      </x:c>
    </x:row>
    <x:row r="14" ht="15" customHeight="1">
      <x:c r="H14" s="41" t="e">
        <x:f>配置!$B$6*8/9</x:f>
        <x:v>#NAME?</x:v>
      </x:c>
      <x:c r="I14" s="15" t="e">
        <x:f>ROUND(配置!$B$4+(配置!$B$5-配置!$B$4)*POWER(MIN(MAX(H14/配置!$B$6,0),1),配置!$B$7),0)</x:f>
        <x:v>#NAME?</x:v>
      </x:c>
    </x:row>
    <x:row r="15" ht="15" customHeight="1">
      <x:c r="H15" s="42" t="e">
        <x:f>配置!$B$6*9/9</x:f>
        <x:v>#NAME?</x:v>
      </x:c>
      <x:c r="I15" s="19" t="e">
        <x:f>ROUND(配置!$B$4+(配置!$B$5-配置!$B$4)*POWER(MIN(MAX(H15/配置!$B$6,0),1),配置!$B$7),0)</x:f>
        <x:v>#NAME?</x:v>
      </x:c>
    </x:row>
    <x:row r="20" ht="28.049999237060547" customHeight="1">
      <x:c r="A20" s="37" t="inlineStr">
        <x:is>
          <x:t xml:space="preserve">显式事件压力预览与调参说明</x:t>
        </x:is>
      </x:c>
    </x:row>
    <x:row r="21" ht="30" customHeight="1">
      <x:c r="A21" s="38" t="inlineStr">
        <x:is>
          <x:t xml:space="preserve">请求时间(s)</x:t>
        </x:is>
      </x:c>
      <x:c r="B21" s="38" t="inlineStr">
        <x:is>
          <x:t xml:space="preserve">事件ID</x:t>
        </x:is>
      </x:c>
      <x:c r="C21" s="38" t="inlineStr">
        <x:is>
          <x:t xml:space="preserve">类型</x:t>
        </x:is>
      </x:c>
      <x:c r="D21" s="38" t="inlineStr">
        <x:is>
          <x:t xml:space="preserve">基准胃口</x:t>
        </x:is>
      </x:c>
      <x:c r="E21" s="38" t="inlineStr">
        <x:is>
          <x:t xml:space="preserve">普通p0</x:t>
        </x:is>
      </x:c>
      <x:c r="F21" s="38" t="inlineStr">
        <x:is>
          <x:t xml:space="preserve">普通p1</x:t>
        </x:is>
      </x:c>
      <x:c r="G21" s="38" t="inlineStr">
        <x:is>
          <x:t xml:space="preserve">快速p0</x:t>
        </x:is>
      </x:c>
      <x:c r="H21" s="38" t="inlineStr">
        <x:is>
          <x:t xml:space="preserve">远程p1</x:t>
        </x:is>
      </x:c>
      <x:c r="I21" s="38" t="inlineStr">
        <x:is>
          <x:t xml:space="preserve">门基础范围</x:t>
        </x:is>
      </x:c>
      <x:c r="J21" s="38" t="inlineStr">
        <x:is>
          <x:t xml:space="preserve">参数含义与修改方向</x:t>
        </x:is>
      </x:c>
    </x:row>
    <x:row r="22" ht="34.04999923706055" customHeight="1">
      <x:c r="A22" s="40" t="e">
        <x:f>事件!A2</x:f>
        <x:v>#NAME?</x:v>
      </x:c>
      <x:c r="B22" s="31" t="e">
        <x:f>事件!B2</x:f>
        <x:v>#NAME?</x:v>
      </x:c>
      <x:c r="C22" s="31" t="e">
        <x:f>事件!C2</x:f>
        <x:v>#NAME?</x:v>
      </x:c>
      <x:c r="D22" s="11" t="e">
        <x:f>事件!E2</x:f>
        <x:v>#NAME?</x:v>
      </x:c>
      <x:c r="E22" s="11" t="e">
        <x:f>事件!F2</x:f>
        <x:v>#NAME?</x:v>
      </x:c>
      <x:c r="F22" s="11" t="e">
        <x:f>事件!G2</x:f>
        <x:v>#NAME?</x:v>
      </x:c>
      <x:c r="G22" s="11" t="e">
        <x:f>事件!H2</x:f>
        <x:v>#NAME?</x:v>
      </x:c>
      <x:c r="H22" s="11" t="e">
        <x:f>事件!K2</x:f>
        <x:v>#NAME?</x:v>
      </x:c>
      <x:c r="I22" s="31" t="e">
        <x:f>TEXT(事件!M2,"0")&amp;"–"&amp;TEXT(事件!N2,"0")</x:f>
        <x:v>#NAME?</x:v>
      </x:c>
      <x:c r="J22" s="32" t="inlineStr">
        <x:is>
          <x:t xml:space="preserve">起始胃口</x:t>
        </x:is>
      </x:c>
      <x:c r="K22" s="39" t="inlineStr">
        <x:is>
          <x:t xml:space="preserve">主要控制开局食客、开局门与漏怪伤害基准；降低它会直接放松前几十秒。</x:t>
        </x:is>
      </x:c>
    </x:row>
    <x:row r="23" ht="34.04999923706055" customHeight="1">
      <x:c r="A23" s="41" t="e">
        <x:f>事件!A3</x:f>
        <x:v>#NAME?</x:v>
      </x:c>
      <x:c r="B23" s="33" t="e">
        <x:f>事件!B3</x:f>
        <x:v>#NAME?</x:v>
      </x:c>
      <x:c r="C23" s="33" t="e">
        <x:f>事件!C3</x:f>
        <x:v>#NAME?</x:v>
      </x:c>
      <x:c r="D23" s="15" t="e">
        <x:f>事件!E3</x:f>
        <x:v>#NAME?</x:v>
      </x:c>
      <x:c r="E23" s="15" t="e">
        <x:f>事件!F3</x:f>
        <x:v>#NAME?</x:v>
      </x:c>
      <x:c r="F23" s="15" t="e">
        <x:f>事件!G3</x:f>
        <x:v>#NAME?</x:v>
      </x:c>
      <x:c r="G23" s="15" t="e">
        <x:f>事件!H3</x:f>
        <x:v>#NAME?</x:v>
      </x:c>
      <x:c r="H23" s="15" t="e">
        <x:f>事件!K3</x:f>
        <x:v>#NAME?</x:v>
      </x:c>
      <x:c r="I23" s="33" t="e">
        <x:f>TEXT(事件!M3,"0")&amp;"–"&amp;TEXT(事件!N3,"0")</x:f>
        <x:v>#NAME?</x:v>
      </x:c>
      <x:c r="J23" s="32" t="inlineStr">
        <x:is>
          <x:t xml:space="preserve">结束胃口</x:t>
        </x:is>
      </x:c>
      <x:c r="K23" s="39" t="inlineStr">
        <x:is>
          <x:t xml:space="preserve">控制曲线封顶后的压力；主要影响中后段、精英与 Boss 前后的基础需求。</x:t>
        </x:is>
      </x:c>
    </x:row>
    <x:row r="24" ht="34.04999923706055" customHeight="1">
      <x:c r="A24" s="41" t="e">
        <x:f>事件!A4</x:f>
        <x:v>#NAME?</x:v>
      </x:c>
      <x:c r="B24" s="33" t="e">
        <x:f>事件!B4</x:f>
        <x:v>#NAME?</x:v>
      </x:c>
      <x:c r="C24" s="33" t="e">
        <x:f>事件!C4</x:f>
        <x:v>#NAME?</x:v>
      </x:c>
      <x:c r="D24" s="15" t="e">
        <x:f>事件!E4</x:f>
        <x:v>#NAME?</x:v>
      </x:c>
      <x:c r="E24" s="15" t="e">
        <x:f>事件!F4</x:f>
        <x:v>#NAME?</x:v>
      </x:c>
      <x:c r="F24" s="15" t="e">
        <x:f>事件!G4</x:f>
        <x:v>#NAME?</x:v>
      </x:c>
      <x:c r="G24" s="15" t="e">
        <x:f>事件!H4</x:f>
        <x:v>#NAME?</x:v>
      </x:c>
      <x:c r="H24" s="15" t="e">
        <x:f>事件!K4</x:f>
        <x:v>#NAME?</x:v>
      </x:c>
      <x:c r="I24" s="33" t="e">
        <x:f>TEXT(事件!M4,"0")&amp;"–"&amp;TEXT(事件!N4,"0")</x:f>
        <x:v>#NAME?</x:v>
      </x:c>
      <x:c r="J24" s="32" t="inlineStr">
        <x:is>
          <x:t xml:space="preserve">增长结束时间</x:t>
        </x:is>
      </x:c>
      <x:c r="K24" s="39" t="inlineStr">
        <x:is>
          <x:t xml:space="preserve">基准胃口达到终点的时刻；时间越长，整条曲线爬升越慢。</x:t>
        </x:is>
      </x:c>
    </x:row>
    <x:row r="25" ht="34.04999923706055" customHeight="1">
      <x:c r="A25" s="41" t="e">
        <x:f>事件!A5</x:f>
        <x:v>#NAME?</x:v>
      </x:c>
      <x:c r="B25" s="33" t="e">
        <x:f>事件!B5</x:f>
        <x:v>#NAME?</x:v>
      </x:c>
      <x:c r="C25" s="33" t="e">
        <x:f>事件!C5</x:f>
        <x:v>#NAME?</x:v>
      </x:c>
      <x:c r="D25" s="15" t="e">
        <x:f>事件!E5</x:f>
        <x:v>#NAME?</x:v>
      </x:c>
      <x:c r="E25" s="15" t="e">
        <x:f>事件!F5</x:f>
        <x:v>#NAME?</x:v>
      </x:c>
      <x:c r="F25" s="15" t="e">
        <x:f>事件!G5</x:f>
        <x:v>#NAME?</x:v>
      </x:c>
      <x:c r="G25" s="15" t="e">
        <x:f>事件!H5</x:f>
        <x:v>#NAME?</x:v>
      </x:c>
      <x:c r="H25" s="15" t="e">
        <x:f>事件!K5</x:f>
        <x:v>#NAME?</x:v>
      </x:c>
      <x:c r="I25" s="33" t="e">
        <x:f>TEXT(事件!M5,"0")&amp;"–"&amp;TEXT(事件!N5,"0")</x:f>
        <x:v>#NAME?</x:v>
      </x:c>
      <x:c r="J25" s="32" t="inlineStr">
        <x:is>
          <x:t xml:space="preserve">增长指数</x:t>
        </x:is>
      </x:c>
      <x:c r="K25" s="39" t="inlineStr">
        <x:is>
          <x:t xml:space="preserve">1 为线性；大于 1 时前缓后陡，数值越大越把压力推迟到后段。</x:t>
        </x:is>
      </x:c>
    </x:row>
    <x:row r="26" ht="34.04999923706055" customHeight="1">
      <x:c r="A26" s="41" t="e">
        <x:f>事件!A6</x:f>
        <x:v>#NAME?</x:v>
      </x:c>
      <x:c r="B26" s="33" t="e">
        <x:f>事件!B6</x:f>
        <x:v>#NAME?</x:v>
      </x:c>
      <x:c r="C26" s="33" t="e">
        <x:f>事件!C6</x:f>
        <x:v>#NAME?</x:v>
      </x:c>
      <x:c r="D26" s="15" t="e">
        <x:f>事件!E6</x:f>
        <x:v>#NAME?</x:v>
      </x:c>
      <x:c r="E26" s="15" t="e">
        <x:f>事件!F6</x:f>
        <x:v>#NAME?</x:v>
      </x:c>
      <x:c r="F26" s="15" t="e">
        <x:f>事件!G6</x:f>
        <x:v>#NAME?</x:v>
      </x:c>
      <x:c r="G26" s="15" t="e">
        <x:f>事件!H6</x:f>
        <x:v>#NAME?</x:v>
      </x:c>
      <x:c r="H26" s="15" t="e">
        <x:f>事件!K6</x:f>
        <x:v>#NAME?</x:v>
      </x:c>
      <x:c r="I26" s="33" t="e">
        <x:f>TEXT(事件!M6,"0")&amp;"–"&amp;TEXT(事件!N6,"0")</x:f>
        <x:v>#NAME?</x:v>
      </x:c>
      <x:c r="J26" s="32" t="inlineStr">
        <x:is>
          <x:t xml:space="preserve">事件时间</x:t>
        </x:is>
      </x:c>
      <x:c r="K26" s="39" t="inlineStr">
        <x:is>
          <x:t xml:space="preserve">只表示请求生成时刻；场上安全距离不足时会排队，因此实机出现可能稍晚。</x:t>
        </x:is>
      </x:c>
    </x:row>
    <x:row r="27" ht="34.04999923706055" customHeight="1">
      <x:c r="A27" s="41" t="e">
        <x:f>事件!A7</x:f>
        <x:v>#NAME?</x:v>
      </x:c>
      <x:c r="B27" s="33" t="e">
        <x:f>事件!B7</x:f>
        <x:v>#NAME?</x:v>
      </x:c>
      <x:c r="C27" s="33" t="e">
        <x:f>事件!C7</x:f>
        <x:v>#NAME?</x:v>
      </x:c>
      <x:c r="D27" s="15" t="e">
        <x:f>事件!E7</x:f>
        <x:v>#NAME?</x:v>
      </x:c>
      <x:c r="E27" s="15" t="e">
        <x:f>事件!F7</x:f>
        <x:v>#NAME?</x:v>
      </x:c>
      <x:c r="F27" s="15" t="e">
        <x:f>事件!G7</x:f>
        <x:v>#NAME?</x:v>
      </x:c>
      <x:c r="G27" s="15" t="e">
        <x:f>事件!H7</x:f>
        <x:v>#NAME?</x:v>
      </x:c>
      <x:c r="H27" s="15" t="e">
        <x:f>事件!K7</x:f>
        <x:v>#NAME?</x:v>
      </x:c>
      <x:c r="I27" s="33" t="e">
        <x:f>TEXT(事件!M7,"0")&amp;"–"&amp;TEXT(事件!N7,"0")</x:f>
        <x:v>#NAME?</x:v>
      </x:c>
      <x:c r="J27" s="32" t="inlineStr">
        <x:is>
          <x:t xml:space="preserve">普通波次</x:t>
        </x:is>
      </x:c>
      <x:c r="K27" s="39" t="inlineStr">
        <x:is>
          <x:t xml:space="preserve">普通食客波次仍由 scripts/run.gd 的规则生成，不在本表逐条控制。</x:t>
        </x:is>
      </x:c>
    </x:row>
    <x:row r="28" ht="15" customHeight="1">
      <x:c r="A28" s="41" t="e">
        <x:f>事件!A8</x:f>
        <x:v>#NAME?</x:v>
      </x:c>
      <x:c r="B28" s="33" t="e">
        <x:f>事件!B8</x:f>
        <x:v>#NAME?</x:v>
      </x:c>
      <x:c r="C28" s="33" t="e">
        <x:f>事件!C8</x:f>
        <x:v>#NAME?</x:v>
      </x:c>
      <x:c r="D28" s="15" t="e">
        <x:f>事件!E8</x:f>
        <x:v>#NAME?</x:v>
      </x:c>
      <x:c r="E28" s="15" t="e">
        <x:f>事件!F8</x:f>
        <x:v>#NAME?</x:v>
      </x:c>
      <x:c r="F28" s="15" t="e">
        <x:f>事件!G8</x:f>
        <x:v>#NAME?</x:v>
      </x:c>
      <x:c r="G28" s="15" t="e">
        <x:f>事件!H8</x:f>
        <x:v>#NAME?</x:v>
      </x:c>
      <x:c r="H28" s="15" t="e">
        <x:f>事件!K8</x:f>
        <x:v>#NAME?</x:v>
      </x:c>
      <x:c r="I28" s="33" t="e">
        <x:f>TEXT(事件!M8,"0")&amp;"–"&amp;TEXT(事件!N8,"0")</x:f>
        <x:v>#NAME?</x:v>
      </x:c>
    </x:row>
    <x:row r="29" ht="15" customHeight="1">
      <x:c r="A29" s="41" t="e">
        <x:f>事件!A9</x:f>
        <x:v>#NAME?</x:v>
      </x:c>
      <x:c r="B29" s="33" t="e">
        <x:f>事件!B9</x:f>
        <x:v>#NAME?</x:v>
      </x:c>
      <x:c r="C29" s="33" t="e">
        <x:f>事件!C9</x:f>
        <x:v>#NAME?</x:v>
      </x:c>
      <x:c r="D29" s="15" t="e">
        <x:f>事件!E9</x:f>
        <x:v>#NAME?</x:v>
      </x:c>
      <x:c r="E29" s="15" t="e">
        <x:f>事件!F9</x:f>
        <x:v>#NAME?</x:v>
      </x:c>
      <x:c r="F29" s="15" t="e">
        <x:f>事件!G9</x:f>
        <x:v>#NAME?</x:v>
      </x:c>
      <x:c r="G29" s="15" t="e">
        <x:f>事件!H9</x:f>
        <x:v>#NAME?</x:v>
      </x:c>
      <x:c r="H29" s="15" t="e">
        <x:f>事件!K9</x:f>
        <x:v>#NAME?</x:v>
      </x:c>
      <x:c r="I29" s="33" t="e">
        <x:f>TEXT(事件!M9,"0")&amp;"–"&amp;TEXT(事件!N9,"0")</x:f>
        <x:v>#NAME?</x:v>
      </x:c>
    </x:row>
    <x:row r="30" ht="15" customHeight="1">
      <x:c r="A30" s="41" t="e">
        <x:f>事件!A10</x:f>
        <x:v>#NAME?</x:v>
      </x:c>
      <x:c r="B30" s="33" t="e">
        <x:f>事件!B10</x:f>
        <x:v>#NAME?</x:v>
      </x:c>
      <x:c r="C30" s="33" t="e">
        <x:f>事件!C10</x:f>
        <x:v>#NAME?</x:v>
      </x:c>
      <x:c r="D30" s="15" t="e">
        <x:f>事件!E10</x:f>
        <x:v>#NAME?</x:v>
      </x:c>
      <x:c r="E30" s="15" t="e">
        <x:f>事件!F10</x:f>
        <x:v>#NAME?</x:v>
      </x:c>
      <x:c r="F30" s="15" t="e">
        <x:f>事件!G10</x:f>
        <x:v>#NAME?</x:v>
      </x:c>
      <x:c r="G30" s="15" t="e">
        <x:f>事件!H10</x:f>
        <x:v>#NAME?</x:v>
      </x:c>
      <x:c r="H30" s="15" t="e">
        <x:f>事件!K10</x:f>
        <x:v>#NAME?</x:v>
      </x:c>
      <x:c r="I30" s="33" t="e">
        <x:f>TEXT(事件!M10,"0")&amp;"–"&amp;TEXT(事件!N10,"0")</x:f>
        <x:v>#NAME?</x:v>
      </x:c>
    </x:row>
    <x:row r="31" ht="15" customHeight="1">
      <x:c r="A31" s="41" t="e">
        <x:f>事件!A11</x:f>
        <x:v>#NAME?</x:v>
      </x:c>
      <x:c r="B31" s="33" t="e">
        <x:f>事件!B11</x:f>
        <x:v>#NAME?</x:v>
      </x:c>
      <x:c r="C31" s="33" t="e">
        <x:f>事件!C11</x:f>
        <x:v>#NAME?</x:v>
      </x:c>
      <x:c r="D31" s="15" t="e">
        <x:f>事件!E11</x:f>
        <x:v>#NAME?</x:v>
      </x:c>
      <x:c r="E31" s="15" t="e">
        <x:f>事件!F11</x:f>
        <x:v>#NAME?</x:v>
      </x:c>
      <x:c r="F31" s="15" t="e">
        <x:f>事件!G11</x:f>
        <x:v>#NAME?</x:v>
      </x:c>
      <x:c r="G31" s="15" t="e">
        <x:f>事件!H11</x:f>
        <x:v>#NAME?</x:v>
      </x:c>
      <x:c r="H31" s="15" t="e">
        <x:f>事件!K11</x:f>
        <x:v>#NAME?</x:v>
      </x:c>
      <x:c r="I31" s="33" t="e">
        <x:f>TEXT(事件!M11,"0")&amp;"–"&amp;TEXT(事件!N11,"0")</x:f>
        <x:v>#NAME?</x:v>
      </x:c>
    </x:row>
    <x:row r="32" ht="15" customHeight="1">
      <x:c r="A32" s="41" t="e">
        <x:f>事件!A12</x:f>
        <x:v>#NAME?</x:v>
      </x:c>
      <x:c r="B32" s="33" t="e">
        <x:f>事件!B12</x:f>
        <x:v>#NAME?</x:v>
      </x:c>
      <x:c r="C32" s="33" t="e">
        <x:f>事件!C12</x:f>
        <x:v>#NAME?</x:v>
      </x:c>
      <x:c r="D32" s="15" t="e">
        <x:f>事件!E12</x:f>
        <x:v>#NAME?</x:v>
      </x:c>
      <x:c r="E32" s="15" t="e">
        <x:f>事件!F12</x:f>
        <x:v>#NAME?</x:v>
      </x:c>
      <x:c r="F32" s="15" t="e">
        <x:f>事件!G12</x:f>
        <x:v>#NAME?</x:v>
      </x:c>
      <x:c r="G32" s="15" t="e">
        <x:f>事件!H12</x:f>
        <x:v>#NAME?</x:v>
      </x:c>
      <x:c r="H32" s="15" t="e">
        <x:f>事件!K12</x:f>
        <x:v>#NAME?</x:v>
      </x:c>
      <x:c r="I32" s="33" t="e">
        <x:f>TEXT(事件!M12,"0")&amp;"–"&amp;TEXT(事件!N12,"0")</x:f>
        <x:v>#NAME?</x:v>
      </x:c>
    </x:row>
    <x:row r="33" ht="15" customHeight="1">
      <x:c r="A33" s="41" t="e">
        <x:f>事件!A13</x:f>
        <x:v>#NAME?</x:v>
      </x:c>
      <x:c r="B33" s="33" t="e">
        <x:f>事件!B13</x:f>
        <x:v>#NAME?</x:v>
      </x:c>
      <x:c r="C33" s="33" t="e">
        <x:f>事件!C13</x:f>
        <x:v>#NAME?</x:v>
      </x:c>
      <x:c r="D33" s="15" t="e">
        <x:f>事件!E13</x:f>
        <x:v>#NAME?</x:v>
      </x:c>
      <x:c r="E33" s="15" t="e">
        <x:f>事件!F13</x:f>
        <x:v>#NAME?</x:v>
      </x:c>
      <x:c r="F33" s="15" t="e">
        <x:f>事件!G13</x:f>
        <x:v>#NAME?</x:v>
      </x:c>
      <x:c r="G33" s="15" t="e">
        <x:f>事件!H13</x:f>
        <x:v>#NAME?</x:v>
      </x:c>
      <x:c r="H33" s="15" t="e">
        <x:f>事件!K13</x:f>
        <x:v>#NAME?</x:v>
      </x:c>
      <x:c r="I33" s="33" t="e">
        <x:f>TEXT(事件!M13,"0")&amp;"–"&amp;TEXT(事件!N13,"0")</x:f>
        <x:v>#NAME?</x:v>
      </x:c>
    </x:row>
    <x:row r="34" ht="15" customHeight="1">
      <x:c r="A34" s="41" t="e">
        <x:f>事件!A14</x:f>
        <x:v>#NAME?</x:v>
      </x:c>
      <x:c r="B34" s="33" t="e">
        <x:f>事件!B14</x:f>
        <x:v>#NAME?</x:v>
      </x:c>
      <x:c r="C34" s="33" t="e">
        <x:f>事件!C14</x:f>
        <x:v>#NAME?</x:v>
      </x:c>
      <x:c r="D34" s="15" t="e">
        <x:f>事件!E14</x:f>
        <x:v>#NAME?</x:v>
      </x:c>
      <x:c r="E34" s="15" t="e">
        <x:f>事件!F14</x:f>
        <x:v>#NAME?</x:v>
      </x:c>
      <x:c r="F34" s="15" t="e">
        <x:f>事件!G14</x:f>
        <x:v>#NAME?</x:v>
      </x:c>
      <x:c r="G34" s="15" t="e">
        <x:f>事件!H14</x:f>
        <x:v>#NAME?</x:v>
      </x:c>
      <x:c r="H34" s="15" t="e">
        <x:f>事件!K14</x:f>
        <x:v>#NAME?</x:v>
      </x:c>
      <x:c r="I34" s="33" t="e">
        <x:f>TEXT(事件!M14,"0")&amp;"–"&amp;TEXT(事件!N14,"0")</x:f>
        <x:v>#NAME?</x:v>
      </x:c>
    </x:row>
    <x:row r="35" ht="15" customHeight="1">
      <x:c r="A35" s="41" t="e">
        <x:f>事件!A15</x:f>
        <x:v>#NAME?</x:v>
      </x:c>
      <x:c r="B35" s="33" t="e">
        <x:f>事件!B15</x:f>
        <x:v>#NAME?</x:v>
      </x:c>
      <x:c r="C35" s="33" t="e">
        <x:f>事件!C15</x:f>
        <x:v>#NAME?</x:v>
      </x:c>
      <x:c r="D35" s="15" t="e">
        <x:f>事件!E15</x:f>
        <x:v>#NAME?</x:v>
      </x:c>
      <x:c r="E35" s="15" t="e">
        <x:f>事件!F15</x:f>
        <x:v>#NAME?</x:v>
      </x:c>
      <x:c r="F35" s="15" t="e">
        <x:f>事件!G15</x:f>
        <x:v>#NAME?</x:v>
      </x:c>
      <x:c r="G35" s="15" t="e">
        <x:f>事件!H15</x:f>
        <x:v>#NAME?</x:v>
      </x:c>
      <x:c r="H35" s="15" t="e">
        <x:f>事件!K15</x:f>
        <x:v>#NAME?</x:v>
      </x:c>
      <x:c r="I35" s="33" t="e">
        <x:f>TEXT(事件!M15,"0")&amp;"–"&amp;TEXT(事件!N15,"0")</x:f>
        <x:v>#NAME?</x:v>
      </x:c>
    </x:row>
    <x:row r="36" ht="15" customHeight="1">
      <x:c r="A36" s="42" t="e">
        <x:f>事件!A16</x:f>
        <x:v>#NAME?</x:v>
      </x:c>
      <x:c r="B36" s="34" t="e">
        <x:f>事件!B16</x:f>
        <x:v>#NAME?</x:v>
      </x:c>
      <x:c r="C36" s="34" t="e">
        <x:f>事件!C16</x:f>
        <x:v>#NAME?</x:v>
      </x:c>
      <x:c r="D36" s="19" t="e">
        <x:f>事件!E16</x:f>
        <x:v>#NAME?</x:v>
      </x:c>
      <x:c r="E36" s="19" t="e">
        <x:f>事件!F16</x:f>
        <x:v>#NAME?</x:v>
      </x:c>
      <x:c r="F36" s="19" t="e">
        <x:f>事件!G16</x:f>
        <x:v>#NAME?</x:v>
      </x:c>
      <x:c r="G36" s="19" t="e">
        <x:f>事件!H16</x:f>
        <x:v>#NAME?</x:v>
      </x:c>
      <x:c r="H36" s="19" t="e">
        <x:f>事件!K16</x:f>
        <x:v>#NAME?</x:v>
      </x:c>
      <x:c r="I36" s="34" t="e">
        <x:f>TEXT(事件!M16,"0")&amp;"–"&amp;TEXT(事件!N16,"0")</x:f>
        <x:v>#NAME?</x:v>
      </x:c>
    </x:row>
    <x:row r="38" ht="28.049999237060547" customHeight="1">
      <x:c r="A38" s="37" t="inlineStr">
        <x:is>
          <x:t xml:space="preserve">策划修改须知</x:t>
        </x:is>
      </x:c>
    </x:row>
    <x:row r="39" ht="31.950000762939453" customHeight="1">
      <x:c r="A39" s="35" t="inlineStr">
        <x:is>
          <x:t xml:space="preserve">1</x:t>
        </x:is>
      </x:c>
      <x:c r="B39" s="39" t="inlineStr">
        <x:is>
          <x:t xml:space="preserve">只修改黄色单元格；预览页和蓝色公式区不需要手填。</x:t>
        </x:is>
      </x:c>
    </x:row>
    <x:row r="40" ht="31.950000762939453" customHeight="1">
      <x:c r="A40" s="35" t="inlineStr">
        <x:is>
          <x:t xml:space="preserve">2</x:t>
        </x:is>
      </x:c>
      <x:c r="B40" s="39" t="inlineStr">
        <x:is>
          <x:t xml:space="preserve">保存并关闭 Excel 后，重新开始本局或重新运行 run.tscn 才会重新读取。</x:t>
        </x:is>
      </x:c>
    </x:row>
    <x:row r="41" ht="31.950000762939453" customHeight="1">
      <x:c r="A41" s="35" t="inlineStr">
        <x:is>
          <x:t xml:space="preserve">3</x:t>
        </x:is>
      </x:c>
      <x:c r="B41" s="39" t="inlineStr">
        <x:is>
          <x:t xml:space="preserve">事件按行顺序读取，请求时间必须从小到大或相等；事件ID必须保持唯一且受支持。</x:t>
        </x:is>
      </x:c>
    </x:row>
    <x:row r="42" ht="31.950000762939453" customHeight="1">
      <x:c r="A42" s="35" t="inlineStr">
        <x:is>
          <x:t xml:space="preserve">4</x:t>
        </x:is>
      </x:c>
      <x:c r="B42" s="39" t="inlineStr">
        <x:is>
          <x:t xml:space="preserve">文件缺失或数据非法时会回退到 data/timelines/vertical_slice.tres，并在输出面板提示。</x:t>
        </x:is>
      </x:c>
    </x:row>
  </x:sheetData>
  <x:mergeCells>
    <x:mergeCell ref="K27:Q27"/>
    <x:mergeCell ref="B42:Q42"/>
    <x:mergeCell ref="K23:Q23"/>
    <x:mergeCell ref="K22:Q22"/>
    <x:mergeCell ref="B40:Q40"/>
    <x:mergeCell ref="B41:Q41"/>
    <x:mergeCell ref="K26:Q26"/>
    <x:mergeCell ref="A5:F5"/>
    <x:mergeCell ref="A20:Q20"/>
    <x:mergeCell ref="A38:Q38"/>
    <x:mergeCell ref="J21:Q21"/>
    <x:mergeCell ref="K25:Q25"/>
    <x:mergeCell ref="A2:Q3"/>
    <x:mergeCell ref="K24:Q24"/>
    <x:mergeCell ref="B39:Q39"/>
    <x:mergeCell ref="A1:Q1"/>
  </x:mergeCells>
  <x:pageMargins left="0.7" right="0.7" top="0.75" bottom="0.75" header="0.3" footer="0.3"/>
  <x:drawing xmlns:r="http://schemas.openxmlformats.org/officeDocument/2006/relationships" r:id="R0e60e3fab3494db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.399999618530273"/>
  <x:cols>
    <x:col min="1" max="1" width="34" customWidth="1"/>
    <x:col min="2" max="2" width="30" customWidth="1"/>
    <x:col min="3" max="3" width="36" customWidth="1"/>
    <x:col min="4" max="4" width="48" customWidth="1"/>
    <x:col min="5" max="5" width="30" customWidth="1"/>
  </x:cols>
  <x:sheetData>
    <x:row r="1" ht="30" customHeight="1">
      <x:c r="A1" s="38" t="inlineStr">
        <x:is>
          <x:t xml:space="preserve">参数ID</x:t>
        </x:is>
      </x:c>
      <x:c r="B1" s="38" t="inlineStr">
        <x:is>
          <x:t xml:space="preserve">数值</x:t>
        </x:is>
      </x:c>
      <x:c r="C1" s="38" t="inlineStr">
        <x:is>
          <x:t xml:space="preserve">说明</x:t>
        </x:is>
      </x:c>
      <x:c r="D1" s="38" t="inlineStr">
        <x:is>
          <x:t xml:space="preserve">对游戏的影响</x:t>
        </x:is>
      </x:c>
      <x:c r="E1" s="38" t="inlineStr">
        <x:is>
          <x:t xml:space="preserve">修改建议</x:t>
        </x:is>
      </x:c>
    </x:row>
    <x:row r="2" ht="34.04999923706055" customHeight="1">
      <x:c r="A2" s="20" t="inlineStr">
        <x:is>
          <x:t xml:space="preserve">schema_id</x:t>
        </x:is>
      </x:c>
      <x:c r="B2" s="9" t="inlineStr">
        <x:is>
          <x:t xml:space="preserve">xiaochuxi.encounter_timeline</x:t>
        </x:is>
      </x:c>
      <x:c r="C2" s="3" t="inlineStr">
        <x:is>
          <x:t xml:space="preserve">表结构标识，请勿修改</x:t>
        </x:is>
      </x:c>
      <x:c r="D2" s="3" t="inlineStr">
        <x:is>
          <x:t xml:space="preserve">用于确认这是小厨西时间轴表</x:t>
        </x:is>
      </x:c>
      <x:c r="E2" s="3" t="inlineStr">
        <x:is>
          <x:t xml:space="preserve">不要修改</x:t>
        </x:is>
      </x:c>
    </x:row>
    <x:row r="3" ht="34.04999923706055" customHeight="1">
      <x:c r="A3" s="21" t="inlineStr">
        <x:is>
          <x:t xml:space="preserve">schema_version</x:t>
        </x:is>
      </x:c>
      <x:c r="B3" s="22" t="n">
        <x:v>1</x:v>
      </x:c>
      <x:c r="C3" s="5" t="inlineStr">
        <x:is>
          <x:t xml:space="preserve">表结构版本，请勿修改</x:t>
        </x:is>
      </x:c>
      <x:c r="D3" s="5" t="inlineStr">
        <x:is>
          <x:t xml:space="preserve">用于识别表结构兼容性</x:t>
        </x:is>
      </x:c>
      <x:c r="E3" s="5" t="inlineStr">
        <x:is>
          <x:t xml:space="preserve">不要修改</x:t>
        </x:is>
      </x:c>
    </x:row>
    <x:row r="4" ht="34.04999923706055" customHeight="1">
      <x:c r="A4" s="21" t="inlineStr">
        <x:is>
          <x:t xml:space="preserve">baseline_appetite_start</x:t>
        </x:is>
      </x:c>
      <x:c r="B4" s="22" t="n">
        <x:v>15</x:v>
      </x:c>
      <x:c r="C4" s="5" t="inlineStr">
        <x:is>
          <x:t xml:space="preserve">基准胃口曲线起点</x:t>
        </x:is>
      </x:c>
      <x:c r="D4" s="5" t="inlineStr">
        <x:is>
          <x:t xml:space="preserve">决定开局食客、门和漏怪伤害的基准</x:t>
        </x:is>
      </x:c>
      <x:c r="E4" s="5" t="inlineStr">
        <x:is>
          <x:t xml:space="preserve">开局太难时优先降低</x:t>
        </x:is>
      </x:c>
    </x:row>
    <x:row r="5" ht="34.04999923706055" customHeight="1">
      <x:c r="A5" s="21" t="inlineStr">
        <x:is>
          <x:t xml:space="preserve">baseline_appetite_end</x:t>
        </x:is>
      </x:c>
      <x:c r="B5" s="22" t="n">
        <x:v>350</x:v>
      </x:c>
      <x:c r="C5" s="5" t="inlineStr">
        <x:is>
          <x:t xml:space="preserve">基准胃口曲线终点</x:t>
        </x:is>
      </x:c>
      <x:c r="D5" s="5" t="inlineStr">
        <x:is>
          <x:t xml:space="preserve">决定曲线封顶后的中后期基础压力</x:t>
        </x:is>
      </x:c>
      <x:c r="E5" s="5" t="inlineStr">
        <x:is>
          <x:t xml:space="preserve">后段太难时降低</x:t>
        </x:is>
      </x:c>
    </x:row>
    <x:row r="6" ht="34.04999923706055" customHeight="1">
      <x:c r="A6" s="21" t="inlineStr">
        <x:is>
          <x:t xml:space="preserve">baseline_appetite_end_time</x:t>
        </x:is>
      </x:c>
      <x:c r="B6" s="22" t="n">
        <x:v>135</x:v>
      </x:c>
      <x:c r="C6" s="5" t="inlineStr">
        <x:is>
          <x:t xml:space="preserve">达到终点胃口的时间（秒）</x:t>
        </x:is>
      </x:c>
      <x:c r="D6" s="5" t="inlineStr">
        <x:is>
          <x:t xml:space="preserve">越大则整体增长越慢、封顶越晚</x:t>
        </x:is>
      </x:c>
      <x:c r="E6" s="5" t="inlineStr">
        <x:is>
          <x:t xml:space="preserve">想延缓压力可提高</x:t>
        </x:is>
      </x:c>
    </x:row>
    <x:row r="7" ht="34.04999923706055" customHeight="1">
      <x:c r="A7" s="23" t="inlineStr">
        <x:is>
          <x:t xml:space="preserve">baseline_appetite_exponent</x:t>
        </x:is>
      </x:c>
      <x:c r="B7" s="24" t="n">
        <x:v>2.1</x:v>
      </x:c>
      <x:c r="C7" s="7" t="inlineStr">
        <x:is>
          <x:t xml:space="preserve">曲线指数</x:t>
        </x:is>
      </x:c>
      <x:c r="D7" s="7" t="inlineStr">
        <x:is>
          <x:t xml:space="preserve">大于1时前缓后陡；1为线性</x:t>
        </x:is>
      </x:c>
      <x:c r="E7" s="7" t="inlineStr">
        <x:is>
          <x:t xml:space="preserve">想让前期更松可提高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34b974faccb94b6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.399999618530273"/>
  <x:cols>
    <x:col min="1" max="1" width="16" customWidth="1"/>
    <x:col min="2" max="2" width="22" customWidth="1"/>
    <x:col min="3" max="3" width="18" customWidth="1"/>
    <x:col min="4" max="4" width="44" customWidth="1"/>
    <x:col min="5" max="5" width="14" customWidth="1"/>
    <x:col min="6" max="11" width="12" customWidth="1"/>
    <x:col min="12" max="14" width="14" customWidth="1"/>
  </x:cols>
  <x:sheetData>
    <x:row r="1" ht="30" customHeight="1">
      <x:c r="A1" s="38" t="inlineStr">
        <x:is>
          <x:t xml:space="preserve">请求时间(s)</x:t>
        </x:is>
      </x:c>
      <x:c r="B1" s="38" t="inlineStr">
        <x:is>
          <x:t xml:space="preserve">事件ID</x:t>
        </x:is>
      </x:c>
      <x:c r="C1" s="38" t="inlineStr">
        <x:is>
          <x:t xml:space="preserve">类型</x:t>
        </x:is>
      </x:c>
      <x:c r="D1" s="38" t="inlineStr">
        <x:is>
          <x:t xml:space="preserve">说明</x:t>
        </x:is>
      </x:c>
      <x:c r="E1" s="38" t="inlineStr">
        <x:is>
          <x:t xml:space="preserve">基准胃口</x:t>
        </x:is>
      </x:c>
      <x:c r="F1" s="38" t="inlineStr">
        <x:is>
          <x:t xml:space="preserve">普通p0</x:t>
        </x:is>
      </x:c>
      <x:c r="G1" s="38" t="inlineStr">
        <x:is>
          <x:t xml:space="preserve">普通p1</x:t>
        </x:is>
      </x:c>
      <x:c r="H1" s="38" t="inlineStr">
        <x:is>
          <x:t xml:space="preserve">快速p0</x:t>
        </x:is>
      </x:c>
      <x:c r="I1" s="38" t="inlineStr">
        <x:is>
          <x:t xml:space="preserve">快速p1</x:t>
        </x:is>
      </x:c>
      <x:c r="J1" s="38" t="inlineStr">
        <x:is>
          <x:t xml:space="preserve">远程p0</x:t>
        </x:is>
      </x:c>
      <x:c r="K1" s="38" t="inlineStr">
        <x:is>
          <x:t xml:space="preserve">远程p1</x:t>
        </x:is>
      </x:c>
      <x:c r="L1" s="38" t="inlineStr">
        <x:is>
          <x:t xml:space="preserve">精英胃口</x:t>
        </x:is>
      </x:c>
      <x:c r="M1" s="38" t="inlineStr">
        <x:is>
          <x:t xml:space="preserve">门基础最低</x:t>
        </x:is>
      </x:c>
      <x:c r="N1" s="38" t="inlineStr">
        <x:is>
          <x:t xml:space="preserve">门基础最高</x:t>
        </x:is>
      </x:c>
    </x:row>
    <x:row r="2" ht="31.950000762939453" customHeight="1">
      <x:c r="A2" s="43" t="n">
        <x:v>2</x:v>
      </x:c>
      <x:c r="B2" s="9" t="inlineStr">
        <x:is>
          <x:t xml:space="preserve">start_gate</x:t>
        </x:is>
      </x:c>
      <x:c r="C2" s="2" t="inlineStr">
        <x:is>
          <x:t xml:space="preserve">开局食材门</x:t>
        </x:is>
      </x:c>
      <x:c r="D2" s="10" t="inlineStr">
        <x:is>
          <x:t xml:space="preserve">开局食材门，提供第一组构筑选择</x:t>
        </x:is>
      </x:c>
      <x:c r="E2" s="11" t="e">
        <x:f>ROUND(配置!$B$4+(配置!$B$5-配置!$B$4)*POWER(MIN(MAX(A2/配置!$B$6,0),1),配置!$B$7),0)</x:f>
        <x:v>#NAME?</x:v>
      </x:c>
      <x:c r="F2" s="11" t="e">
        <x:f>ROUND(E2,0)</x:f>
        <x:v>#VALUE!</x:v>
      </x:c>
      <x:c r="G2" s="11" t="e">
        <x:f>ROUND(E2*2,0)</x:f>
        <x:v>#VALUE!</x:v>
      </x:c>
      <x:c r="H2" s="11" t="e">
        <x:f>ROUND(E2*0.75,0)</x:f>
        <x:v>#VALUE!</x:v>
      </x:c>
      <x:c r="I2" s="11" t="e">
        <x:f>ROUND(E2*1.5,0)</x:f>
        <x:v>#VALUE!</x:v>
      </x:c>
      <x:c r="J2" s="11" t="e">
        <x:f>ROUND(E2*1.5,0)</x:f>
        <x:v>#VALUE!</x:v>
      </x:c>
      <x:c r="K2" s="11" t="e">
        <x:f>ROUND(E2*3,0)</x:f>
        <x:v>#VALUE!</x:v>
      </x:c>
      <x:c r="L2" s="11" t="e">
        <x:f>ROUND(E2*5.625,0)</x:f>
        <x:v>#VALUE!</x:v>
      </x:c>
      <x:c r="M2" s="11" t="e">
        <x:f>ROUND(E2,0)</x:f>
        <x:v>#VALUE!</x:v>
      </x:c>
      <x:c r="N2" s="11" t="e">
        <x:f>ROUND(E2*2,0)</x:f>
        <x:v>#VALUE!</x:v>
      </x:c>
    </x:row>
    <x:row r="3" ht="31.950000762939453" customHeight="1">
      <x:c r="A3" s="44" t="n">
        <x:v>18</x:v>
      </x:c>
      <x:c r="B3" s="13" t="inlineStr">
        <x:is>
          <x:t xml:space="preserve">gate_0</x:t>
        </x:is>
      </x:c>
      <x:c r="C3" s="4" t="inlineStr">
        <x:is>
          <x:t xml:space="preserve">普通强化门</x:t>
        </x:is>
      </x:c>
      <x:c r="D3" s="14" t="inlineStr">
        <x:is>
          <x:t xml:space="preserve">普通强化门，请求后仍受安全生成距离约束</x:t>
        </x:is>
      </x:c>
      <x:c r="E3" s="15" t="e">
        <x:f>ROUND(配置!$B$4+(配置!$B$5-配置!$B$4)*POWER(MIN(MAX(A3/配置!$B$6,0),1),配置!$B$7),0)</x:f>
        <x:v>#NAME?</x:v>
      </x:c>
      <x:c r="F3" s="15" t="e">
        <x:f>ROUND(E3,0)</x:f>
        <x:v>#VALUE!</x:v>
      </x:c>
      <x:c r="G3" s="15" t="e">
        <x:f>ROUND(E3*2,0)</x:f>
        <x:v>#VALUE!</x:v>
      </x:c>
      <x:c r="H3" s="15" t="e">
        <x:f>ROUND(E3*0.75,0)</x:f>
        <x:v>#VALUE!</x:v>
      </x:c>
      <x:c r="I3" s="15" t="e">
        <x:f>ROUND(E3*1.5,0)</x:f>
        <x:v>#VALUE!</x:v>
      </x:c>
      <x:c r="J3" s="15" t="e">
        <x:f>ROUND(E3*1.5,0)</x:f>
        <x:v>#VALUE!</x:v>
      </x:c>
      <x:c r="K3" s="15" t="e">
        <x:f>ROUND(E3*3,0)</x:f>
        <x:v>#VALUE!</x:v>
      </x:c>
      <x:c r="L3" s="15" t="e">
        <x:f>ROUND(E3*5.625,0)</x:f>
        <x:v>#VALUE!</x:v>
      </x:c>
      <x:c r="M3" s="15" t="e">
        <x:f>ROUND(E3,0)</x:f>
        <x:v>#VALUE!</x:v>
      </x:c>
      <x:c r="N3" s="15" t="e">
        <x:f>ROUND(E3*2,0)</x:f>
        <x:v>#VALUE!</x:v>
      </x:c>
    </x:row>
    <x:row r="4" ht="31.950000762939453" customHeight="1">
      <x:c r="A4" s="44" t="n">
        <x:v>30</x:v>
      </x:c>
      <x:c r="B4" s="13" t="inlineStr">
        <x:is>
          <x:t xml:space="preserve">gate_1</x:t>
        </x:is>
      </x:c>
      <x:c r="C4" s="4" t="inlineStr">
        <x:is>
          <x:t xml:space="preserve">普通强化门</x:t>
        </x:is>
      </x:c>
      <x:c r="D4" s="14" t="inlineStr">
        <x:is>
          <x:t xml:space="preserve">普通强化门，请求后仍受安全生成距离约束</x:t>
        </x:is>
      </x:c>
      <x:c r="E4" s="15" t="e">
        <x:f>ROUND(配置!$B$4+(配置!$B$5-配置!$B$4)*POWER(MIN(MAX(A4/配置!$B$6,0),1),配置!$B$7),0)</x:f>
        <x:v>#NAME?</x:v>
      </x:c>
      <x:c r="F4" s="15" t="e">
        <x:f>ROUND(E4,0)</x:f>
        <x:v>#VALUE!</x:v>
      </x:c>
      <x:c r="G4" s="15" t="e">
        <x:f>ROUND(E4*2,0)</x:f>
        <x:v>#VALUE!</x:v>
      </x:c>
      <x:c r="H4" s="15" t="e">
        <x:f>ROUND(E4*0.75,0)</x:f>
        <x:v>#VALUE!</x:v>
      </x:c>
      <x:c r="I4" s="15" t="e">
        <x:f>ROUND(E4*1.5,0)</x:f>
        <x:v>#VALUE!</x:v>
      </x:c>
      <x:c r="J4" s="15" t="e">
        <x:f>ROUND(E4*1.5,0)</x:f>
        <x:v>#VALUE!</x:v>
      </x:c>
      <x:c r="K4" s="15" t="e">
        <x:f>ROUND(E4*3,0)</x:f>
        <x:v>#VALUE!</x:v>
      </x:c>
      <x:c r="L4" s="15" t="e">
        <x:f>ROUND(E4*5.625,0)</x:f>
        <x:v>#VALUE!</x:v>
      </x:c>
      <x:c r="M4" s="15" t="e">
        <x:f>ROUND(E4,0)</x:f>
        <x:v>#VALUE!</x:v>
      </x:c>
      <x:c r="N4" s="15" t="e">
        <x:f>ROUND(E4*2,0)</x:f>
        <x:v>#VALUE!</x:v>
      </x:c>
    </x:row>
    <x:row r="5" ht="31.950000762939453" customHeight="1">
      <x:c r="A5" s="44" t="n">
        <x:v>42</x:v>
      </x:c>
      <x:c r="B5" s="13" t="inlineStr">
        <x:is>
          <x:t xml:space="preserve">gate_2</x:t>
        </x:is>
      </x:c>
      <x:c r="C5" s="4" t="inlineStr">
        <x:is>
          <x:t xml:space="preserve">普通强化门</x:t>
        </x:is>
      </x:c>
      <x:c r="D5" s="14" t="inlineStr">
        <x:is>
          <x:t xml:space="preserve">普通强化门，请求后仍受安全生成距离约束</x:t>
        </x:is>
      </x:c>
      <x:c r="E5" s="15" t="e">
        <x:f>ROUND(配置!$B$4+(配置!$B$5-配置!$B$4)*POWER(MIN(MAX(A5/配置!$B$6,0),1),配置!$B$7),0)</x:f>
        <x:v>#NAME?</x:v>
      </x:c>
      <x:c r="F5" s="15" t="e">
        <x:f>ROUND(E5,0)</x:f>
        <x:v>#VALUE!</x:v>
      </x:c>
      <x:c r="G5" s="15" t="e">
        <x:f>ROUND(E5*2,0)</x:f>
        <x:v>#VALUE!</x:v>
      </x:c>
      <x:c r="H5" s="15" t="e">
        <x:f>ROUND(E5*0.75,0)</x:f>
        <x:v>#VALUE!</x:v>
      </x:c>
      <x:c r="I5" s="15" t="e">
        <x:f>ROUND(E5*1.5,0)</x:f>
        <x:v>#VALUE!</x:v>
      </x:c>
      <x:c r="J5" s="15" t="e">
        <x:f>ROUND(E5*1.5,0)</x:f>
        <x:v>#VALUE!</x:v>
      </x:c>
      <x:c r="K5" s="15" t="e">
        <x:f>ROUND(E5*3,0)</x:f>
        <x:v>#VALUE!</x:v>
      </x:c>
      <x:c r="L5" s="15" t="e">
        <x:f>ROUND(E5*5.625,0)</x:f>
        <x:v>#VALUE!</x:v>
      </x:c>
      <x:c r="M5" s="15" t="e">
        <x:f>ROUND(E5,0)</x:f>
        <x:v>#VALUE!</x:v>
      </x:c>
      <x:c r="N5" s="15" t="e">
        <x:f>ROUND(E5*2,0)</x:f>
        <x:v>#VALUE!</x:v>
      </x:c>
    </x:row>
    <x:row r="6" ht="31.950000762939453" customHeight="1">
      <x:c r="A6" s="44" t="n">
        <x:v>54</x:v>
      </x:c>
      <x:c r="B6" s="13" t="inlineStr">
        <x:is>
          <x:t xml:space="preserve">gate_3</x:t>
        </x:is>
      </x:c>
      <x:c r="C6" s="4" t="inlineStr">
        <x:is>
          <x:t xml:space="preserve">普通强化门</x:t>
        </x:is>
      </x:c>
      <x:c r="D6" s="14" t="inlineStr">
        <x:is>
          <x:t xml:space="preserve">普通强化门，请求后仍受安全生成距离约束</x:t>
        </x:is>
      </x:c>
      <x:c r="E6" s="15" t="e">
        <x:f>ROUND(配置!$B$4+(配置!$B$5-配置!$B$4)*POWER(MIN(MAX(A6/配置!$B$6,0),1),配置!$B$7),0)</x:f>
        <x:v>#NAME?</x:v>
      </x:c>
      <x:c r="F6" s="15" t="e">
        <x:f>ROUND(E6,0)</x:f>
        <x:v>#VALUE!</x:v>
      </x:c>
      <x:c r="G6" s="15" t="e">
        <x:f>ROUND(E6*2,0)</x:f>
        <x:v>#VALUE!</x:v>
      </x:c>
      <x:c r="H6" s="15" t="e">
        <x:f>ROUND(E6*0.75,0)</x:f>
        <x:v>#VALUE!</x:v>
      </x:c>
      <x:c r="I6" s="15" t="e">
        <x:f>ROUND(E6*1.5,0)</x:f>
        <x:v>#VALUE!</x:v>
      </x:c>
      <x:c r="J6" s="15" t="e">
        <x:f>ROUND(E6*1.5,0)</x:f>
        <x:v>#VALUE!</x:v>
      </x:c>
      <x:c r="K6" s="15" t="e">
        <x:f>ROUND(E6*3,0)</x:f>
        <x:v>#VALUE!</x:v>
      </x:c>
      <x:c r="L6" s="15" t="e">
        <x:f>ROUND(E6*5.625,0)</x:f>
        <x:v>#VALUE!</x:v>
      </x:c>
      <x:c r="M6" s="15" t="e">
        <x:f>ROUND(E6,0)</x:f>
        <x:v>#VALUE!</x:v>
      </x:c>
      <x:c r="N6" s="15" t="e">
        <x:f>ROUND(E6*2,0)</x:f>
        <x:v>#VALUE!</x:v>
      </x:c>
    </x:row>
    <x:row r="7" ht="31.950000762939453" customHeight="1">
      <x:c r="A7" s="44" t="n">
        <x:v>60</x:v>
      </x:c>
      <x:c r="B7" s="13" t="inlineStr">
        <x:is>
          <x:t xml:space="preserve">elite</x:t>
        </x:is>
      </x:c>
      <x:c r="C7" s="4" t="inlineStr">
        <x:is>
          <x:t xml:space="preserve">精英</x:t>
        </x:is>
      </x:c>
      <x:c r="D7" s="14" t="inlineStr">
        <x:is>
          <x:t xml:space="preserve">精英检查；满足后进入特殊强化选择</x:t>
        </x:is>
      </x:c>
      <x:c r="E7" s="15" t="e">
        <x:f>ROUND(配置!$B$4+(配置!$B$5-配置!$B$4)*POWER(MIN(MAX(A7/配置!$B$6,0),1),配置!$B$7),0)</x:f>
        <x:v>#NAME?</x:v>
      </x:c>
      <x:c r="F7" s="15" t="e">
        <x:f>ROUND(E7,0)</x:f>
        <x:v>#VALUE!</x:v>
      </x:c>
      <x:c r="G7" s="15" t="e">
        <x:f>ROUND(E7*2,0)</x:f>
        <x:v>#VALUE!</x:v>
      </x:c>
      <x:c r="H7" s="15" t="e">
        <x:f>ROUND(E7*0.75,0)</x:f>
        <x:v>#VALUE!</x:v>
      </x:c>
      <x:c r="I7" s="15" t="e">
        <x:f>ROUND(E7*1.5,0)</x:f>
        <x:v>#VALUE!</x:v>
      </x:c>
      <x:c r="J7" s="15" t="e">
        <x:f>ROUND(E7*1.5,0)</x:f>
        <x:v>#VALUE!</x:v>
      </x:c>
      <x:c r="K7" s="15" t="e">
        <x:f>ROUND(E7*3,0)</x:f>
        <x:v>#VALUE!</x:v>
      </x:c>
      <x:c r="L7" s="15" t="e">
        <x:f>ROUND(E7*5.625,0)</x:f>
        <x:v>#VALUE!</x:v>
      </x:c>
      <x:c r="M7" s="15" t="e">
        <x:f>ROUND(E7,0)</x:f>
        <x:v>#VALUE!</x:v>
      </x:c>
      <x:c r="N7" s="15" t="e">
        <x:f>ROUND(E7*2,0)</x:f>
        <x:v>#VALUE!</x:v>
      </x:c>
    </x:row>
    <x:row r="8" ht="31.950000762939453" customHeight="1">
      <x:c r="A8" s="44" t="n">
        <x:v>72</x:v>
      </x:c>
      <x:c r="B8" s="13" t="inlineStr">
        <x:is>
          <x:t xml:space="preserve">gate_4</x:t>
        </x:is>
      </x:c>
      <x:c r="C8" s="4" t="inlineStr">
        <x:is>
          <x:t xml:space="preserve">普通强化门</x:t>
        </x:is>
      </x:c>
      <x:c r="D8" s="14" t="inlineStr">
        <x:is>
          <x:t xml:space="preserve">普通强化门，请求后仍受安全生成距离约束</x:t>
        </x:is>
      </x:c>
      <x:c r="E8" s="15" t="e">
        <x:f>ROUND(配置!$B$4+(配置!$B$5-配置!$B$4)*POWER(MIN(MAX(A8/配置!$B$6,0),1),配置!$B$7),0)</x:f>
        <x:v>#NAME?</x:v>
      </x:c>
      <x:c r="F8" s="15" t="e">
        <x:f>ROUND(E8,0)</x:f>
        <x:v>#VALUE!</x:v>
      </x:c>
      <x:c r="G8" s="15" t="e">
        <x:f>ROUND(E8*2,0)</x:f>
        <x:v>#VALUE!</x:v>
      </x:c>
      <x:c r="H8" s="15" t="e">
        <x:f>ROUND(E8*0.75,0)</x:f>
        <x:v>#VALUE!</x:v>
      </x:c>
      <x:c r="I8" s="15" t="e">
        <x:f>ROUND(E8*1.5,0)</x:f>
        <x:v>#VALUE!</x:v>
      </x:c>
      <x:c r="J8" s="15" t="e">
        <x:f>ROUND(E8*1.5,0)</x:f>
        <x:v>#VALUE!</x:v>
      </x:c>
      <x:c r="K8" s="15" t="e">
        <x:f>ROUND(E8*3,0)</x:f>
        <x:v>#VALUE!</x:v>
      </x:c>
      <x:c r="L8" s="15" t="e">
        <x:f>ROUND(E8*5.625,0)</x:f>
        <x:v>#VALUE!</x:v>
      </x:c>
      <x:c r="M8" s="15" t="e">
        <x:f>ROUND(E8,0)</x:f>
        <x:v>#VALUE!</x:v>
      </x:c>
      <x:c r="N8" s="15" t="e">
        <x:f>ROUND(E8*2,0)</x:f>
        <x:v>#VALUE!</x:v>
      </x:c>
    </x:row>
    <x:row r="9" ht="31.950000762939453" customHeight="1">
      <x:c r="A9" s="44" t="n">
        <x:v>84</x:v>
      </x:c>
      <x:c r="B9" s="13" t="inlineStr">
        <x:is>
          <x:t xml:space="preserve">gate_5</x:t>
        </x:is>
      </x:c>
      <x:c r="C9" s="4" t="inlineStr">
        <x:is>
          <x:t xml:space="preserve">普通强化门</x:t>
        </x:is>
      </x:c>
      <x:c r="D9" s="14" t="inlineStr">
        <x:is>
          <x:t xml:space="preserve">普通强化门，请求后仍受安全生成距离约束</x:t>
        </x:is>
      </x:c>
      <x:c r="E9" s="15" t="e">
        <x:f>ROUND(配置!$B$4+(配置!$B$5-配置!$B$4)*POWER(MIN(MAX(A9/配置!$B$6,0),1),配置!$B$7),0)</x:f>
        <x:v>#NAME?</x:v>
      </x:c>
      <x:c r="F9" s="15" t="e">
        <x:f>ROUND(E9,0)</x:f>
        <x:v>#VALUE!</x:v>
      </x:c>
      <x:c r="G9" s="15" t="e">
        <x:f>ROUND(E9*2,0)</x:f>
        <x:v>#VALUE!</x:v>
      </x:c>
      <x:c r="H9" s="15" t="e">
        <x:f>ROUND(E9*0.75,0)</x:f>
        <x:v>#VALUE!</x:v>
      </x:c>
      <x:c r="I9" s="15" t="e">
        <x:f>ROUND(E9*1.5,0)</x:f>
        <x:v>#VALUE!</x:v>
      </x:c>
      <x:c r="J9" s="15" t="e">
        <x:f>ROUND(E9*1.5,0)</x:f>
        <x:v>#VALUE!</x:v>
      </x:c>
      <x:c r="K9" s="15" t="e">
        <x:f>ROUND(E9*3,0)</x:f>
        <x:v>#VALUE!</x:v>
      </x:c>
      <x:c r="L9" s="15" t="e">
        <x:f>ROUND(E9*5.625,0)</x:f>
        <x:v>#VALUE!</x:v>
      </x:c>
      <x:c r="M9" s="15" t="e">
        <x:f>ROUND(E9,0)</x:f>
        <x:v>#VALUE!</x:v>
      </x:c>
      <x:c r="N9" s="15" t="e">
        <x:f>ROUND(E9*2,0)</x:f>
        <x:v>#VALUE!</x:v>
      </x:c>
    </x:row>
    <x:row r="10" ht="31.950000762939453" customHeight="1">
      <x:c r="A10" s="44" t="n">
        <x:v>96</x:v>
      </x:c>
      <x:c r="B10" s="13" t="inlineStr">
        <x:is>
          <x:t xml:space="preserve">gate_6</x:t>
        </x:is>
      </x:c>
      <x:c r="C10" s="4" t="inlineStr">
        <x:is>
          <x:t xml:space="preserve">普通强化门</x:t>
        </x:is>
      </x:c>
      <x:c r="D10" s="14" t="inlineStr">
        <x:is>
          <x:t xml:space="preserve">普通强化门，请求后仍受安全生成距离约束</x:t>
        </x:is>
      </x:c>
      <x:c r="E10" s="15" t="e">
        <x:f>ROUND(配置!$B$4+(配置!$B$5-配置!$B$4)*POWER(MIN(MAX(A10/配置!$B$6,0),1),配置!$B$7),0)</x:f>
        <x:v>#NAME?</x:v>
      </x:c>
      <x:c r="F10" s="15" t="e">
        <x:f>ROUND(E10,0)</x:f>
        <x:v>#VALUE!</x:v>
      </x:c>
      <x:c r="G10" s="15" t="e">
        <x:f>ROUND(E10*2,0)</x:f>
        <x:v>#VALUE!</x:v>
      </x:c>
      <x:c r="H10" s="15" t="e">
        <x:f>ROUND(E10*0.75,0)</x:f>
        <x:v>#VALUE!</x:v>
      </x:c>
      <x:c r="I10" s="15" t="e">
        <x:f>ROUND(E10*1.5,0)</x:f>
        <x:v>#VALUE!</x:v>
      </x:c>
      <x:c r="J10" s="15" t="e">
        <x:f>ROUND(E10*1.5,0)</x:f>
        <x:v>#VALUE!</x:v>
      </x:c>
      <x:c r="K10" s="15" t="e">
        <x:f>ROUND(E10*3,0)</x:f>
        <x:v>#VALUE!</x:v>
      </x:c>
      <x:c r="L10" s="15" t="e">
        <x:f>ROUND(E10*5.625,0)</x:f>
        <x:v>#VALUE!</x:v>
      </x:c>
      <x:c r="M10" s="15" t="e">
        <x:f>ROUND(E10,0)</x:f>
        <x:v>#VALUE!</x:v>
      </x:c>
      <x:c r="N10" s="15" t="e">
        <x:f>ROUND(E10*2,0)</x:f>
        <x:v>#VALUE!</x:v>
      </x:c>
    </x:row>
    <x:row r="11" ht="31.950000762939453" customHeight="1">
      <x:c r="A11" s="44" t="n">
        <x:v>108</x:v>
      </x:c>
      <x:c r="B11" s="13" t="inlineStr">
        <x:is>
          <x:t xml:space="preserve">gate_7</x:t>
        </x:is>
      </x:c>
      <x:c r="C11" s="4" t="inlineStr">
        <x:is>
          <x:t xml:space="preserve">普通强化门</x:t>
        </x:is>
      </x:c>
      <x:c r="D11" s="14" t="inlineStr">
        <x:is>
          <x:t xml:space="preserve">普通强化门，请求后仍受安全生成距离约束</x:t>
        </x:is>
      </x:c>
      <x:c r="E11" s="15" t="e">
        <x:f>ROUND(配置!$B$4+(配置!$B$5-配置!$B$4)*POWER(MIN(MAX(A11/配置!$B$6,0),1),配置!$B$7),0)</x:f>
        <x:v>#NAME?</x:v>
      </x:c>
      <x:c r="F11" s="15" t="e">
        <x:f>ROUND(E11,0)</x:f>
        <x:v>#VALUE!</x:v>
      </x:c>
      <x:c r="G11" s="15" t="e">
        <x:f>ROUND(E11*2,0)</x:f>
        <x:v>#VALUE!</x:v>
      </x:c>
      <x:c r="H11" s="15" t="e">
        <x:f>ROUND(E11*0.75,0)</x:f>
        <x:v>#VALUE!</x:v>
      </x:c>
      <x:c r="I11" s="15" t="e">
        <x:f>ROUND(E11*1.5,0)</x:f>
        <x:v>#VALUE!</x:v>
      </x:c>
      <x:c r="J11" s="15" t="e">
        <x:f>ROUND(E11*1.5,0)</x:f>
        <x:v>#VALUE!</x:v>
      </x:c>
      <x:c r="K11" s="15" t="e">
        <x:f>ROUND(E11*3,0)</x:f>
        <x:v>#VALUE!</x:v>
      </x:c>
      <x:c r="L11" s="15" t="e">
        <x:f>ROUND(E11*5.625,0)</x:f>
        <x:v>#VALUE!</x:v>
      </x:c>
      <x:c r="M11" s="15" t="e">
        <x:f>ROUND(E11,0)</x:f>
        <x:v>#VALUE!</x:v>
      </x:c>
      <x:c r="N11" s="15" t="e">
        <x:f>ROUND(E11*2,0)</x:f>
        <x:v>#VALUE!</x:v>
      </x:c>
    </x:row>
    <x:row r="12" ht="31.950000762939453" customHeight="1">
      <x:c r="A12" s="44" t="n">
        <x:v>120</x:v>
      </x:c>
      <x:c r="B12" s="13" t="inlineStr">
        <x:is>
          <x:t xml:space="preserve">gate_8</x:t>
        </x:is>
      </x:c>
      <x:c r="C12" s="4" t="inlineStr">
        <x:is>
          <x:t xml:space="preserve">普通强化门</x:t>
        </x:is>
      </x:c>
      <x:c r="D12" s="14" t="inlineStr">
        <x:is>
          <x:t xml:space="preserve">普通强化门，请求后仍受安全生成距离约束</x:t>
        </x:is>
      </x:c>
      <x:c r="E12" s="15" t="e">
        <x:f>ROUND(配置!$B$4+(配置!$B$5-配置!$B$4)*POWER(MIN(MAX(A12/配置!$B$6,0),1),配置!$B$7),0)</x:f>
        <x:v>#NAME?</x:v>
      </x:c>
      <x:c r="F12" s="15" t="e">
        <x:f>ROUND(E12,0)</x:f>
        <x:v>#VALUE!</x:v>
      </x:c>
      <x:c r="G12" s="15" t="e">
        <x:f>ROUND(E12*2,0)</x:f>
        <x:v>#VALUE!</x:v>
      </x:c>
      <x:c r="H12" s="15" t="e">
        <x:f>ROUND(E12*0.75,0)</x:f>
        <x:v>#VALUE!</x:v>
      </x:c>
      <x:c r="I12" s="15" t="e">
        <x:f>ROUND(E12*1.5,0)</x:f>
        <x:v>#VALUE!</x:v>
      </x:c>
      <x:c r="J12" s="15" t="e">
        <x:f>ROUND(E12*1.5,0)</x:f>
        <x:v>#VALUE!</x:v>
      </x:c>
      <x:c r="K12" s="15" t="e">
        <x:f>ROUND(E12*3,0)</x:f>
        <x:v>#VALUE!</x:v>
      </x:c>
      <x:c r="L12" s="15" t="e">
        <x:f>ROUND(E12*5.625,0)</x:f>
        <x:v>#VALUE!</x:v>
      </x:c>
      <x:c r="M12" s="15" t="e">
        <x:f>ROUND(E12,0)</x:f>
        <x:v>#VALUE!</x:v>
      </x:c>
      <x:c r="N12" s="15" t="e">
        <x:f>ROUND(E12*2,0)</x:f>
        <x:v>#VALUE!</x:v>
      </x:c>
    </x:row>
    <x:row r="13" ht="31.950000762939453" customHeight="1">
      <x:c r="A13" s="44" t="n">
        <x:v>132</x:v>
      </x:c>
      <x:c r="B13" s="13" t="inlineStr">
        <x:is>
          <x:t xml:space="preserve">gate_9</x:t>
        </x:is>
      </x:c>
      <x:c r="C13" s="4" t="inlineStr">
        <x:is>
          <x:t xml:space="preserve">普通强化门</x:t>
        </x:is>
      </x:c>
      <x:c r="D13" s="14" t="inlineStr">
        <x:is>
          <x:t xml:space="preserve">普通强化门，请求后仍受安全生成距离约束</x:t>
        </x:is>
      </x:c>
      <x:c r="E13" s="15" t="e">
        <x:f>ROUND(配置!$B$4+(配置!$B$5-配置!$B$4)*POWER(MIN(MAX(A13/配置!$B$6,0),1),配置!$B$7),0)</x:f>
        <x:v>#NAME?</x:v>
      </x:c>
      <x:c r="F13" s="15" t="e">
        <x:f>ROUND(E13,0)</x:f>
        <x:v>#VALUE!</x:v>
      </x:c>
      <x:c r="G13" s="15" t="e">
        <x:f>ROUND(E13*2,0)</x:f>
        <x:v>#VALUE!</x:v>
      </x:c>
      <x:c r="H13" s="15" t="e">
        <x:f>ROUND(E13*0.75,0)</x:f>
        <x:v>#VALUE!</x:v>
      </x:c>
      <x:c r="I13" s="15" t="e">
        <x:f>ROUND(E13*1.5,0)</x:f>
        <x:v>#VALUE!</x:v>
      </x:c>
      <x:c r="J13" s="15" t="e">
        <x:f>ROUND(E13*1.5,0)</x:f>
        <x:v>#VALUE!</x:v>
      </x:c>
      <x:c r="K13" s="15" t="e">
        <x:f>ROUND(E13*3,0)</x:f>
        <x:v>#VALUE!</x:v>
      </x:c>
      <x:c r="L13" s="15" t="e">
        <x:f>ROUND(E13*5.625,0)</x:f>
        <x:v>#VALUE!</x:v>
      </x:c>
      <x:c r="M13" s="15" t="e">
        <x:f>ROUND(E13,0)</x:f>
        <x:v>#VALUE!</x:v>
      </x:c>
      <x:c r="N13" s="15" t="e">
        <x:f>ROUND(E13*2,0)</x:f>
        <x:v>#VALUE!</x:v>
      </x:c>
    </x:row>
    <x:row r="14" ht="31.950000762939453" customHeight="1">
      <x:c r="A14" s="44" t="n">
        <x:v>135</x:v>
      </x:c>
      <x:c r="B14" s="13" t="inlineStr">
        <x:is>
          <x:t xml:space="preserve">elite</x:t>
        </x:is>
      </x:c>
      <x:c r="C14" s="4" t="inlineStr">
        <x:is>
          <x:t xml:space="preserve">精英</x:t>
        </x:is>
      </x:c>
      <x:c r="D14" s="14" t="inlineStr">
        <x:is>
          <x:t xml:space="preserve">精英检查；满足后进入特殊强化选择</x:t>
        </x:is>
      </x:c>
      <x:c r="E14" s="15" t="e">
        <x:f>ROUND(配置!$B$4+(配置!$B$5-配置!$B$4)*POWER(MIN(MAX(A14/配置!$B$6,0),1),配置!$B$7),0)</x:f>
        <x:v>#NAME?</x:v>
      </x:c>
      <x:c r="F14" s="15" t="e">
        <x:f>ROUND(E14,0)</x:f>
        <x:v>#VALUE!</x:v>
      </x:c>
      <x:c r="G14" s="15" t="e">
        <x:f>ROUND(E14*2,0)</x:f>
        <x:v>#VALUE!</x:v>
      </x:c>
      <x:c r="H14" s="15" t="e">
        <x:f>ROUND(E14*0.75,0)</x:f>
        <x:v>#VALUE!</x:v>
      </x:c>
      <x:c r="I14" s="15" t="e">
        <x:f>ROUND(E14*1.5,0)</x:f>
        <x:v>#VALUE!</x:v>
      </x:c>
      <x:c r="J14" s="15" t="e">
        <x:f>ROUND(E14*1.5,0)</x:f>
        <x:v>#VALUE!</x:v>
      </x:c>
      <x:c r="K14" s="15" t="e">
        <x:f>ROUND(E14*3,0)</x:f>
        <x:v>#VALUE!</x:v>
      </x:c>
      <x:c r="L14" s="15" t="e">
        <x:f>ROUND(E14*5.625,0)</x:f>
        <x:v>#VALUE!</x:v>
      </x:c>
      <x:c r="M14" s="15" t="e">
        <x:f>ROUND(E14,0)</x:f>
        <x:v>#VALUE!</x:v>
      </x:c>
      <x:c r="N14" s="15" t="e">
        <x:f>ROUND(E14*2,0)</x:f>
        <x:v>#VALUE!</x:v>
      </x:c>
    </x:row>
    <x:row r="15" ht="31.950000762939453" customHeight="1">
      <x:c r="A15" s="44" t="n">
        <x:v>150</x:v>
      </x:c>
      <x:c r="B15" s="13" t="inlineStr">
        <x:is>
          <x:t xml:space="preserve">gate_10</x:t>
        </x:is>
      </x:c>
      <x:c r="C15" s="4" t="inlineStr">
        <x:is>
          <x:t xml:space="preserve">普通强化门</x:t>
        </x:is>
      </x:c>
      <x:c r="D15" s="14" t="inlineStr">
        <x:is>
          <x:t xml:space="preserve">普通强化门，请求后仍受安全生成距离约束</x:t>
        </x:is>
      </x:c>
      <x:c r="E15" s="15" t="e">
        <x:f>ROUND(配置!$B$4+(配置!$B$5-配置!$B$4)*POWER(MIN(MAX(A15/配置!$B$6,0),1),配置!$B$7),0)</x:f>
        <x:v>#NAME?</x:v>
      </x:c>
      <x:c r="F15" s="15" t="e">
        <x:f>ROUND(E15,0)</x:f>
        <x:v>#VALUE!</x:v>
      </x:c>
      <x:c r="G15" s="15" t="e">
        <x:f>ROUND(E15*2,0)</x:f>
        <x:v>#VALUE!</x:v>
      </x:c>
      <x:c r="H15" s="15" t="e">
        <x:f>ROUND(E15*0.75,0)</x:f>
        <x:v>#VALUE!</x:v>
      </x:c>
      <x:c r="I15" s="15" t="e">
        <x:f>ROUND(E15*1.5,0)</x:f>
        <x:v>#VALUE!</x:v>
      </x:c>
      <x:c r="J15" s="15" t="e">
        <x:f>ROUND(E15*1.5,0)</x:f>
        <x:v>#VALUE!</x:v>
      </x:c>
      <x:c r="K15" s="15" t="e">
        <x:f>ROUND(E15*3,0)</x:f>
        <x:v>#VALUE!</x:v>
      </x:c>
      <x:c r="L15" s="15" t="e">
        <x:f>ROUND(E15*5.625,0)</x:f>
        <x:v>#VALUE!</x:v>
      </x:c>
      <x:c r="M15" s="15" t="e">
        <x:f>ROUND(E15,0)</x:f>
        <x:v>#VALUE!</x:v>
      </x:c>
      <x:c r="N15" s="15" t="e">
        <x:f>ROUND(E15*2,0)</x:f>
        <x:v>#VALUE!</x:v>
      </x:c>
    </x:row>
    <x:row r="16" ht="31.950000762939453" customHeight="1">
      <x:c r="A16" s="45" t="n">
        <x:v>162</x:v>
      </x:c>
      <x:c r="B16" s="17" t="inlineStr">
        <x:is>
          <x:t xml:space="preserve">gate_11</x:t>
        </x:is>
      </x:c>
      <x:c r="C16" s="6" t="inlineStr">
        <x:is>
          <x:t xml:space="preserve">普通强化门</x:t>
        </x:is>
      </x:c>
      <x:c r="D16" s="18" t="inlineStr">
        <x:is>
          <x:t xml:space="preserve">普通强化门，请求后仍受安全生成距离约束</x:t>
        </x:is>
      </x:c>
      <x:c r="E16" s="19" t="e">
        <x:f>ROUND(配置!$B$4+(配置!$B$5-配置!$B$4)*POWER(MIN(MAX(A16/配置!$B$6,0),1),配置!$B$7),0)</x:f>
        <x:v>#NAME?</x:v>
      </x:c>
      <x:c r="F16" s="19" t="e">
        <x:f>ROUND(E16,0)</x:f>
        <x:v>#VALUE!</x:v>
      </x:c>
      <x:c r="G16" s="19" t="e">
        <x:f>ROUND(E16*2,0)</x:f>
        <x:v>#VALUE!</x:v>
      </x:c>
      <x:c r="H16" s="19" t="e">
        <x:f>ROUND(E16*0.75,0)</x:f>
        <x:v>#VALUE!</x:v>
      </x:c>
      <x:c r="I16" s="19" t="e">
        <x:f>ROUND(E16*1.5,0)</x:f>
        <x:v>#VALUE!</x:v>
      </x:c>
      <x:c r="J16" s="19" t="e">
        <x:f>ROUND(E16*1.5,0)</x:f>
        <x:v>#VALUE!</x:v>
      </x:c>
      <x:c r="K16" s="19" t="e">
        <x:f>ROUND(E16*3,0)</x:f>
        <x:v>#VALUE!</x:v>
      </x:c>
      <x:c r="L16" s="19" t="e">
        <x:f>ROUND(E16*5.625,0)</x:f>
        <x:v>#VALUE!</x:v>
      </x:c>
      <x:c r="M16" s="19" t="e">
        <x:f>ROUND(E16,0)</x:f>
        <x:v>#VALUE!</x:v>
      </x:c>
      <x:c r="N16" s="19" t="e">
        <x:f>ROUND(E16*2,0)</x:f>
        <x:v>#VALUE!</x:v>
      </x:c>
    </x:row>
    <x:row r="17" ht="22" customHeight="1">
      <x:c r="A17" s="66" t="n">
        <x:v>174</x:v>
      </x:c>
      <x:c r="B17" s="51" t="str">
        <x:v>gate_12</x:v>
      </x:c>
      <x:c r="C17" s="56" t="str">
        <x:v>普通强化门</x:v>
      </x:c>
      <x:c r="D17" s="57" t="str">
        <x:v>普通强化门，请求后仍受安全生成距离约束</x:v>
      </x:c>
      <x:c r="E17" s="63" t="e">
        <x:f>ROUND(配置!$B$4+(配置!$B$5-配置!$B$4)*POWER(MIN(MAX(A17/配置!$B$6,0),1),配置!$B$7),0)</x:f>
        <x:v>#NAME?</x:v>
      </x:c>
      <x:c r="F17" s="64" t="e">
        <x:f>ROUND(E17,0)</x:f>
        <x:v>#VALUE!</x:v>
      </x:c>
      <x:c r="G17" s="64" t="e">
        <x:f>ROUND(E17*2,0)</x:f>
        <x:v>#VALUE!</x:v>
      </x:c>
      <x:c r="H17" s="64" t="e">
        <x:f>ROUND(E17*0.75,0)</x:f>
        <x:v>#VALUE!</x:v>
      </x:c>
      <x:c r="I17" s="64" t="e">
        <x:f>ROUND(E17*1.5,0)</x:f>
        <x:v>#VALUE!</x:v>
      </x:c>
      <x:c r="J17" s="64" t="e">
        <x:f>ROUND(E17*1.5,0)</x:f>
        <x:v>#VALUE!</x:v>
      </x:c>
      <x:c r="K17" s="64" t="e">
        <x:f>ROUND(E17*3,0)</x:f>
        <x:v>#VALUE!</x:v>
      </x:c>
      <x:c r="L17" s="64" t="e">
        <x:f>ROUND(E17*5.625,0)</x:f>
        <x:v>#VALUE!</x:v>
      </x:c>
      <x:c r="M17" s="64" t="e">
        <x:f>ROUND(E17,0)</x:f>
        <x:v>#VALUE!</x:v>
      </x:c>
      <x:c r="N17" s="65" t="e">
        <x:f>ROUND(E17*2,0)</x:f>
        <x:v>#VALUE!</x:v>
      </x:c>
    </x:row>
    <x:row r="18" ht="22" customHeight="1">
      <x:c r="A18" s="66" t="n">
        <x:v>186</x:v>
      </x:c>
      <x:c r="B18" s="51" t="str">
        <x:v>gate_13</x:v>
      </x:c>
      <x:c r="C18" s="56" t="str">
        <x:v>普通强化门</x:v>
      </x:c>
      <x:c r="D18" s="57" t="str">
        <x:v>普通强化门，请求后仍受安全生成距离约束</x:v>
      </x:c>
      <x:c r="E18" s="63" t="e">
        <x:f>ROUND(配置!$B$4+(配置!$B$5-配置!$B$4)*POWER(MIN(MAX(A18/配置!$B$6,0),1),配置!$B$7),0)</x:f>
        <x:v>#NAME?</x:v>
      </x:c>
      <x:c r="F18" s="64" t="e">
        <x:f>ROUND(E18,0)</x:f>
        <x:v>#VALUE!</x:v>
      </x:c>
      <x:c r="G18" s="64" t="e">
        <x:f>ROUND(E18*2,0)</x:f>
        <x:v>#VALUE!</x:v>
      </x:c>
      <x:c r="H18" s="64" t="e">
        <x:f>ROUND(E18*0.75,0)</x:f>
        <x:v>#VALUE!</x:v>
      </x:c>
      <x:c r="I18" s="64" t="e">
        <x:f>ROUND(E18*1.5,0)</x:f>
        <x:v>#VALUE!</x:v>
      </x:c>
      <x:c r="J18" s="64" t="e">
        <x:f>ROUND(E18*1.5,0)</x:f>
        <x:v>#VALUE!</x:v>
      </x:c>
      <x:c r="K18" s="64" t="e">
        <x:f>ROUND(E18*3,0)</x:f>
        <x:v>#VALUE!</x:v>
      </x:c>
      <x:c r="L18" s="64" t="e">
        <x:f>ROUND(E18*5.625,0)</x:f>
        <x:v>#VALUE!</x:v>
      </x:c>
      <x:c r="M18" s="64" t="e">
        <x:f>ROUND(E18,0)</x:f>
        <x:v>#VALUE!</x:v>
      </x:c>
      <x:c r="N18" s="65" t="e">
        <x:f>ROUND(E18*2,0)</x:f>
        <x:v>#VALUE!</x:v>
      </x:c>
    </x:row>
    <x:row r="19" ht="22" customHeight="1">
      <x:c r="A19" s="66" t="n">
        <x:v>198</x:v>
      </x:c>
      <x:c r="B19" s="51" t="str">
        <x:v>gate_14</x:v>
      </x:c>
      <x:c r="C19" s="56" t="str">
        <x:v>普通强化门</x:v>
      </x:c>
      <x:c r="D19" s="57" t="str">
        <x:v>普通强化门，请求后仍受安全生成距离约束</x:v>
      </x:c>
      <x:c r="E19" s="63" t="e">
        <x:f>ROUND(配置!$B$4+(配置!$B$5-配置!$B$4)*POWER(MIN(MAX(A19/配置!$B$6,0),1),配置!$B$7),0)</x:f>
        <x:v>#NAME?</x:v>
      </x:c>
      <x:c r="F19" s="64" t="e">
        <x:f>ROUND(E19,0)</x:f>
        <x:v>#VALUE!</x:v>
      </x:c>
      <x:c r="G19" s="64" t="e">
        <x:f>ROUND(E19*2,0)</x:f>
        <x:v>#VALUE!</x:v>
      </x:c>
      <x:c r="H19" s="64" t="e">
        <x:f>ROUND(E19*0.75,0)</x:f>
        <x:v>#VALUE!</x:v>
      </x:c>
      <x:c r="I19" s="64" t="e">
        <x:f>ROUND(E19*1.5,0)</x:f>
        <x:v>#VALUE!</x:v>
      </x:c>
      <x:c r="J19" s="64" t="e">
        <x:f>ROUND(E19*1.5,0)</x:f>
        <x:v>#VALUE!</x:v>
      </x:c>
      <x:c r="K19" s="64" t="e">
        <x:f>ROUND(E19*3,0)</x:f>
        <x:v>#VALUE!</x:v>
      </x:c>
      <x:c r="L19" s="64" t="e">
        <x:f>ROUND(E19*5.625,0)</x:f>
        <x:v>#VALUE!</x:v>
      </x:c>
      <x:c r="M19" s="64" t="e">
        <x:f>ROUND(E19,0)</x:f>
        <x:v>#VALUE!</x:v>
      </x:c>
      <x:c r="N19" s="65" t="e">
        <x:f>ROUND(E19*2,0)</x:f>
        <x:v>#VALUE!</x:v>
      </x:c>
    </x:row>
    <x:row r="20" ht="22" customHeight="1">
      <x:c r="A20" s="66" t="n">
        <x:v>208</x:v>
      </x:c>
      <x:c r="B20" s="51" t="str">
        <x:v>gate_15</x:v>
      </x:c>
      <x:c r="C20" s="56" t="str">
        <x:v>普通强化门</x:v>
      </x:c>
      <x:c r="D20" s="57" t="str">
        <x:v>普通强化门，请求后仍受安全生成距离约束</x:v>
      </x:c>
      <x:c r="E20" s="63" t="e">
        <x:f>ROUND(配置!$B$4+(配置!$B$5-配置!$B$4)*POWER(MIN(MAX(A20/配置!$B$6,0),1),配置!$B$7),0)</x:f>
        <x:v>#NAME?</x:v>
      </x:c>
      <x:c r="F20" s="64" t="e">
        <x:f>ROUND(E20,0)</x:f>
        <x:v>#VALUE!</x:v>
      </x:c>
      <x:c r="G20" s="64" t="e">
        <x:f>ROUND(E20*2,0)</x:f>
        <x:v>#VALUE!</x:v>
      </x:c>
      <x:c r="H20" s="64" t="e">
        <x:f>ROUND(E20*0.75,0)</x:f>
        <x:v>#VALUE!</x:v>
      </x:c>
      <x:c r="I20" s="64" t="e">
        <x:f>ROUND(E20*1.5,0)</x:f>
        <x:v>#VALUE!</x:v>
      </x:c>
      <x:c r="J20" s="64" t="e">
        <x:f>ROUND(E20*1.5,0)</x:f>
        <x:v>#VALUE!</x:v>
      </x:c>
      <x:c r="K20" s="64" t="e">
        <x:f>ROUND(E20*3,0)</x:f>
        <x:v>#VALUE!</x:v>
      </x:c>
      <x:c r="L20" s="64" t="e">
        <x:f>ROUND(E20*5.625,0)</x:f>
        <x:v>#VALUE!</x:v>
      </x:c>
      <x:c r="M20" s="64" t="e">
        <x:f>ROUND(E20,0)</x:f>
        <x:v>#VALUE!</x:v>
      </x:c>
      <x:c r="N20" s="65" t="e">
        <x:f>ROUND(E20*2,0)</x:f>
        <x:v>#VALUE!</x:v>
      </x:c>
    </x:row>
    <x:row r="21" ht="22" customHeight="1">
      <x:c r="A21" s="66" t="n">
        <x:v>210</x:v>
      </x:c>
      <x:c r="B21" s="51" t="str">
        <x:v>elite</x:v>
      </x:c>
      <x:c r="C21" s="56" t="str">
        <x:v>精英</x:v>
      </x:c>
      <x:c r="D21" s="57" t="str">
        <x:v>精英检查；满足后进入特殊强化选择</x:v>
      </x:c>
      <x:c r="E21" s="63" t="e">
        <x:f>ROUND(配置!$B$4+(配置!$B$5-配置!$B$4)*POWER(MIN(MAX(A21/配置!$B$6,0),1),配置!$B$7),0)</x:f>
        <x:v>#NAME?</x:v>
      </x:c>
      <x:c r="F21" s="64" t="e">
        <x:f>ROUND(E21,0)</x:f>
        <x:v>#VALUE!</x:v>
      </x:c>
      <x:c r="G21" s="64" t="e">
        <x:f>ROUND(E21*2,0)</x:f>
        <x:v>#VALUE!</x:v>
      </x:c>
      <x:c r="H21" s="64" t="e">
        <x:f>ROUND(E21*0.75,0)</x:f>
        <x:v>#VALUE!</x:v>
      </x:c>
      <x:c r="I21" s="64" t="e">
        <x:f>ROUND(E21*1.5,0)</x:f>
        <x:v>#VALUE!</x:v>
      </x:c>
      <x:c r="J21" s="64" t="e">
        <x:f>ROUND(E21*1.5,0)</x:f>
        <x:v>#VALUE!</x:v>
      </x:c>
      <x:c r="K21" s="64" t="e">
        <x:f>ROUND(E21*3,0)</x:f>
        <x:v>#VALUE!</x:v>
      </x:c>
      <x:c r="L21" s="64" t="e">
        <x:f>ROUND(E21*5.625,0)</x:f>
        <x:v>#VALUE!</x:v>
      </x:c>
      <x:c r="M21" s="64" t="e">
        <x:f>ROUND(E21,0)</x:f>
        <x:v>#VALUE!</x:v>
      </x:c>
      <x:c r="N21" s="65" t="e">
        <x:f>ROUND(E21*2,0)</x:f>
        <x:v>#VALUE!</x:v>
      </x:c>
    </x:row>
    <x:row r="22" ht="22" customHeight="1">
      <x:c r="A22" s="66" t="n">
        <x:v>222</x:v>
      </x:c>
      <x:c r="B22" s="51" t="str">
        <x:v>gate_16</x:v>
      </x:c>
      <x:c r="C22" s="56" t="str">
        <x:v>普通强化门</x:v>
      </x:c>
      <x:c r="D22" s="57" t="str">
        <x:v>普通强化门，请求后仍受安全生成距离约束</x:v>
      </x:c>
      <x:c r="E22" s="63" t="e">
        <x:f>ROUND(配置!$B$4+(配置!$B$5-配置!$B$4)*POWER(MIN(MAX(A22/配置!$B$6,0),1),配置!$B$7),0)</x:f>
        <x:v>#NAME?</x:v>
      </x:c>
      <x:c r="F22" s="64" t="e">
        <x:f>ROUND(E22,0)</x:f>
        <x:v>#VALUE!</x:v>
      </x:c>
      <x:c r="G22" s="64" t="e">
        <x:f>ROUND(E22*2,0)</x:f>
        <x:v>#VALUE!</x:v>
      </x:c>
      <x:c r="H22" s="64" t="e">
        <x:f>ROUND(E22*0.75,0)</x:f>
        <x:v>#VALUE!</x:v>
      </x:c>
      <x:c r="I22" s="64" t="e">
        <x:f>ROUND(E22*1.5,0)</x:f>
        <x:v>#VALUE!</x:v>
      </x:c>
      <x:c r="J22" s="64" t="e">
        <x:f>ROUND(E22*1.5,0)</x:f>
        <x:v>#VALUE!</x:v>
      </x:c>
      <x:c r="K22" s="64" t="e">
        <x:f>ROUND(E22*3,0)</x:f>
        <x:v>#VALUE!</x:v>
      </x:c>
      <x:c r="L22" s="64" t="e">
        <x:f>ROUND(E22*5.625,0)</x:f>
        <x:v>#VALUE!</x:v>
      </x:c>
      <x:c r="M22" s="64" t="e">
        <x:f>ROUND(E22,0)</x:f>
        <x:v>#VALUE!</x:v>
      </x:c>
      <x:c r="N22" s="65" t="e">
        <x:f>ROUND(E22*2,0)</x:f>
        <x:v>#VALUE!</x:v>
      </x:c>
    </x:row>
    <x:row r="23" ht="22" customHeight="1">
      <x:c r="A23" s="66" t="n">
        <x:v>234</x:v>
      </x:c>
      <x:c r="B23" s="51" t="str">
        <x:v>gate_17</x:v>
      </x:c>
      <x:c r="C23" s="56" t="str">
        <x:v>普通强化门</x:v>
      </x:c>
      <x:c r="D23" s="57" t="str">
        <x:v>普通强化门，请求后仍受安全生成距离约束</x:v>
      </x:c>
      <x:c r="E23" s="63" t="e">
        <x:f>ROUND(配置!$B$4+(配置!$B$5-配置!$B$4)*POWER(MIN(MAX(A23/配置!$B$6,0),1),配置!$B$7),0)</x:f>
        <x:v>#NAME?</x:v>
      </x:c>
      <x:c r="F23" s="64" t="e">
        <x:f>ROUND(E23,0)</x:f>
        <x:v>#VALUE!</x:v>
      </x:c>
      <x:c r="G23" s="64" t="e">
        <x:f>ROUND(E23*2,0)</x:f>
        <x:v>#VALUE!</x:v>
      </x:c>
      <x:c r="H23" s="64" t="e">
        <x:f>ROUND(E23*0.75,0)</x:f>
        <x:v>#VALUE!</x:v>
      </x:c>
      <x:c r="I23" s="64" t="e">
        <x:f>ROUND(E23*1.5,0)</x:f>
        <x:v>#VALUE!</x:v>
      </x:c>
      <x:c r="J23" s="64" t="e">
        <x:f>ROUND(E23*1.5,0)</x:f>
        <x:v>#VALUE!</x:v>
      </x:c>
      <x:c r="K23" s="64" t="e">
        <x:f>ROUND(E23*3,0)</x:f>
        <x:v>#VALUE!</x:v>
      </x:c>
      <x:c r="L23" s="64" t="e">
        <x:f>ROUND(E23*5.625,0)</x:f>
        <x:v>#VALUE!</x:v>
      </x:c>
      <x:c r="M23" s="64" t="e">
        <x:f>ROUND(E23,0)</x:f>
        <x:v>#VALUE!</x:v>
      </x:c>
      <x:c r="N23" s="65" t="e">
        <x:f>ROUND(E23*2,0)</x:f>
        <x:v>#VALUE!</x:v>
      </x:c>
    </x:row>
    <x:row r="24" ht="22" customHeight="1">
      <x:c r="A24" s="66" t="n">
        <x:v>246</x:v>
      </x:c>
      <x:c r="B24" s="51" t="str">
        <x:v>gate_18</x:v>
      </x:c>
      <x:c r="C24" s="56" t="str">
        <x:v>普通强化门</x:v>
      </x:c>
      <x:c r="D24" s="57" t="str">
        <x:v>普通强化门，请求后仍受安全生成距离约束</x:v>
      </x:c>
      <x:c r="E24" s="63" t="e">
        <x:f>ROUND(配置!$B$4+(配置!$B$5-配置!$B$4)*POWER(MIN(MAX(A24/配置!$B$6,0),1),配置!$B$7),0)</x:f>
        <x:v>#NAME?</x:v>
      </x:c>
      <x:c r="F24" s="64" t="e">
        <x:f>ROUND(E24,0)</x:f>
        <x:v>#VALUE!</x:v>
      </x:c>
      <x:c r="G24" s="64" t="e">
        <x:f>ROUND(E24*2,0)</x:f>
        <x:v>#VALUE!</x:v>
      </x:c>
      <x:c r="H24" s="64" t="e">
        <x:f>ROUND(E24*0.75,0)</x:f>
        <x:v>#VALUE!</x:v>
      </x:c>
      <x:c r="I24" s="64" t="e">
        <x:f>ROUND(E24*1.5,0)</x:f>
        <x:v>#VALUE!</x:v>
      </x:c>
      <x:c r="J24" s="64" t="e">
        <x:f>ROUND(E24*1.5,0)</x:f>
        <x:v>#VALUE!</x:v>
      </x:c>
      <x:c r="K24" s="64" t="e">
        <x:f>ROUND(E24*3,0)</x:f>
        <x:v>#VALUE!</x:v>
      </x:c>
      <x:c r="L24" s="64" t="e">
        <x:f>ROUND(E24*5.625,0)</x:f>
        <x:v>#VALUE!</x:v>
      </x:c>
      <x:c r="M24" s="64" t="e">
        <x:f>ROUND(E24,0)</x:f>
        <x:v>#VALUE!</x:v>
      </x:c>
      <x:c r="N24" s="65" t="e">
        <x:f>ROUND(E24*2,0)</x:f>
        <x:v>#VALUE!</x:v>
      </x:c>
    </x:row>
    <x:row r="25" ht="22" customHeight="1">
      <x:c r="A25" s="66" t="n">
        <x:v>258</x:v>
      </x:c>
      <x:c r="B25" s="51" t="str">
        <x:v>gate_19</x:v>
      </x:c>
      <x:c r="C25" s="56" t="str">
        <x:v>普通强化门</x:v>
      </x:c>
      <x:c r="D25" s="57" t="str">
        <x:v>普通强化门，请求后仍受安全生成距离约束</x:v>
      </x:c>
      <x:c r="E25" s="63" t="e">
        <x:f>ROUND(配置!$B$4+(配置!$B$5-配置!$B$4)*POWER(MIN(MAX(A25/配置!$B$6,0),1),配置!$B$7),0)</x:f>
        <x:v>#NAME?</x:v>
      </x:c>
      <x:c r="F25" s="64" t="e">
        <x:f>ROUND(E25,0)</x:f>
        <x:v>#VALUE!</x:v>
      </x:c>
      <x:c r="G25" s="64" t="e">
        <x:f>ROUND(E25*2,0)</x:f>
        <x:v>#VALUE!</x:v>
      </x:c>
      <x:c r="H25" s="64" t="e">
        <x:f>ROUND(E25*0.75,0)</x:f>
        <x:v>#VALUE!</x:v>
      </x:c>
      <x:c r="I25" s="64" t="e">
        <x:f>ROUND(E25*1.5,0)</x:f>
        <x:v>#VALUE!</x:v>
      </x:c>
      <x:c r="J25" s="64" t="e">
        <x:f>ROUND(E25*1.5,0)</x:f>
        <x:v>#VALUE!</x:v>
      </x:c>
      <x:c r="K25" s="64" t="e">
        <x:f>ROUND(E25*3,0)</x:f>
        <x:v>#VALUE!</x:v>
      </x:c>
      <x:c r="L25" s="64" t="e">
        <x:f>ROUND(E25*5.625,0)</x:f>
        <x:v>#VALUE!</x:v>
      </x:c>
      <x:c r="M25" s="64" t="e">
        <x:f>ROUND(E25,0)</x:f>
        <x:v>#VALUE!</x:v>
      </x:c>
      <x:c r="N25" s="65" t="e">
        <x:f>ROUND(E25*2,0)</x:f>
        <x:v>#VALUE!</x:v>
      </x:c>
    </x:row>
    <x:row r="26" ht="22" customHeight="1">
      <x:c r="A26" s="66" t="n">
        <x:v>270</x:v>
      </x:c>
      <x:c r="B26" s="51" t="str">
        <x:v>boss</x:v>
      </x:c>
      <x:c r="C26" s="56" t="str">
        <x:v>Boss</x:v>
      </x:c>
      <x:c r="D26" s="57" t="str">
        <x:v>Boss检查；满足后进入第四次特殊选择</x:v>
      </x:c>
      <x:c r="E26" s="63" t="e">
        <x:f>ROUND(配置!$B$4+(配置!$B$5-配置!$B$4)*POWER(MIN(MAX(A26/配置!$B$6,0),1),配置!$B$7),0)</x:f>
        <x:v>#NAME?</x:v>
      </x:c>
      <x:c r="F26" s="64" t="e">
        <x:f>ROUND(E26,0)</x:f>
        <x:v>#VALUE!</x:v>
      </x:c>
      <x:c r="G26" s="64" t="e">
        <x:f>ROUND(E26*2,0)</x:f>
        <x:v>#VALUE!</x:v>
      </x:c>
      <x:c r="H26" s="64" t="e">
        <x:f>ROUND(E26*0.75,0)</x:f>
        <x:v>#VALUE!</x:v>
      </x:c>
      <x:c r="I26" s="64" t="e">
        <x:f>ROUND(E26*1.5,0)</x:f>
        <x:v>#VALUE!</x:v>
      </x:c>
      <x:c r="J26" s="64" t="e">
        <x:f>ROUND(E26*1.5,0)</x:f>
        <x:v>#VALUE!</x:v>
      </x:c>
      <x:c r="K26" s="64" t="e">
        <x:f>ROUND(E26*3,0)</x:f>
        <x:v>#VALUE!</x:v>
      </x:c>
      <x:c r="L26" s="64" t="e">
        <x:f>ROUND(E26*5.625,0)</x:f>
        <x:v>#VALUE!</x:v>
      </x:c>
      <x:c r="M26" s="64" t="e">
        <x:f>ROUND(E26,0)</x:f>
        <x:v>#VALUE!</x:v>
      </x:c>
      <x:c r="N26" s="65" t="e">
        <x:f>ROUND(E26*2,0)</x:f>
        <x:v>#VALUE!</x:v>
      </x:c>
    </x:row>
    <x:row r="27" ht="22" customHeight="1">
      <x:c r="A27" s="66" t="n">
        <x:v>322</x:v>
      </x:c>
      <x:c r="B27" s="51" t="str">
        <x:v>gate_20</x:v>
      </x:c>
      <x:c r="C27" s="56" t="str">
        <x:v>普通强化门</x:v>
      </x:c>
      <x:c r="D27" s="57" t="str">
        <x:v>Boss后复跑门；立即验证第四次特殊强化</x:v>
      </x:c>
      <x:c r="E27" s="63" t="e">
        <x:f>ROUND(配置!$B$4+(配置!$B$5-配置!$B$4)*POWER(MIN(MAX(A27/配置!$B$6,0),1),配置!$B$7),0)</x:f>
        <x:v>#NAME?</x:v>
      </x:c>
      <x:c r="F27" s="64" t="e">
        <x:f>ROUND(E27,0)</x:f>
        <x:v>#VALUE!</x:v>
      </x:c>
      <x:c r="G27" s="64" t="e">
        <x:f>ROUND(E27*2,0)</x:f>
        <x:v>#VALUE!</x:v>
      </x:c>
      <x:c r="H27" s="64" t="e">
        <x:f>ROUND(E27*0.75,0)</x:f>
        <x:v>#VALUE!</x:v>
      </x:c>
      <x:c r="I27" s="64" t="e">
        <x:f>ROUND(E27*1.5,0)</x:f>
        <x:v>#VALUE!</x:v>
      </x:c>
      <x:c r="J27" s="64" t="e">
        <x:f>ROUND(E27*1.5,0)</x:f>
        <x:v>#VALUE!</x:v>
      </x:c>
      <x:c r="K27" s="64" t="e">
        <x:f>ROUND(E27*3,0)</x:f>
        <x:v>#VALUE!</x:v>
      </x:c>
      <x:c r="L27" s="64" t="e">
        <x:f>ROUND(E27*5.625,0)</x:f>
        <x:v>#VALUE!</x:v>
      </x:c>
      <x:c r="M27" s="64" t="e">
        <x:f>ROUND(E27,0)</x:f>
        <x:v>#VALUE!</x:v>
      </x:c>
      <x:c r="N27" s="65" t="e">
        <x:f>ROUND(E27*2,0)</x:f>
        <x:v>#VALUE!</x:v>
      </x:c>
    </x:row>
    <x:row r="28" ht="22" customHeight="1">
      <x:c r="A28" s="66" t="n">
        <x:v>332</x:v>
      </x:c>
      <x:c r="B28" s="51" t="str">
        <x:v>gate_21</x:v>
      </x:c>
      <x:c r="C28" s="56" t="str">
        <x:v>普通强化门</x:v>
      </x:c>
      <x:c r="D28" s="57" t="str">
        <x:v>Boss后复跑门；立即验证第四次特殊强化</x:v>
      </x:c>
      <x:c r="E28" s="63" t="e">
        <x:f>ROUND(配置!$B$4+(配置!$B$5-配置!$B$4)*POWER(MIN(MAX(A28/配置!$B$6,0),1),配置!$B$7),0)</x:f>
        <x:v>#NAME?</x:v>
      </x:c>
      <x:c r="F28" s="64" t="e">
        <x:f>ROUND(E28,0)</x:f>
        <x:v>#VALUE!</x:v>
      </x:c>
      <x:c r="G28" s="64" t="e">
        <x:f>ROUND(E28*2,0)</x:f>
        <x:v>#VALUE!</x:v>
      </x:c>
      <x:c r="H28" s="64" t="e">
        <x:f>ROUND(E28*0.75,0)</x:f>
        <x:v>#VALUE!</x:v>
      </x:c>
      <x:c r="I28" s="64" t="e">
        <x:f>ROUND(E28*1.5,0)</x:f>
        <x:v>#VALUE!</x:v>
      </x:c>
      <x:c r="J28" s="64" t="e">
        <x:f>ROUND(E28*1.5,0)</x:f>
        <x:v>#VALUE!</x:v>
      </x:c>
      <x:c r="K28" s="64" t="e">
        <x:f>ROUND(E28*3,0)</x:f>
        <x:v>#VALUE!</x:v>
      </x:c>
      <x:c r="L28" s="64" t="e">
        <x:f>ROUND(E28*5.625,0)</x:f>
        <x:v>#VALUE!</x:v>
      </x:c>
      <x:c r="M28" s="64" t="e">
        <x:f>ROUND(E28,0)</x:f>
        <x:v>#VALUE!</x:v>
      </x:c>
      <x:c r="N28" s="65" t="e">
        <x:f>ROUND(E28*2,0)</x:f>
        <x:v>#VALUE!</x:v>
      </x:c>
    </x:row>
    <x:row r="29" ht="22" customHeight="1">
      <x:c r="A29" s="66" t="n">
        <x:v>342</x:v>
      </x:c>
      <x:c r="B29" s="51" t="str">
        <x:v>gate_22</x:v>
      </x:c>
      <x:c r="C29" s="56" t="str">
        <x:v>普通强化门</x:v>
      </x:c>
      <x:c r="D29" s="57" t="str">
        <x:v>Boss后复跑门；立即验证第四次特殊强化</x:v>
      </x:c>
      <x:c r="E29" s="63" t="e">
        <x:f>ROUND(配置!$B$4+(配置!$B$5-配置!$B$4)*POWER(MIN(MAX(A29/配置!$B$6,0),1),配置!$B$7),0)</x:f>
        <x:v>#NAME?</x:v>
      </x:c>
      <x:c r="F29" s="64" t="e">
        <x:f>ROUND(E29,0)</x:f>
        <x:v>#VALUE!</x:v>
      </x:c>
      <x:c r="G29" s="64" t="e">
        <x:f>ROUND(E29*2,0)</x:f>
        <x:v>#VALUE!</x:v>
      </x:c>
      <x:c r="H29" s="64" t="e">
        <x:f>ROUND(E29*0.75,0)</x:f>
        <x:v>#VALUE!</x:v>
      </x:c>
      <x:c r="I29" s="64" t="e">
        <x:f>ROUND(E29*1.5,0)</x:f>
        <x:v>#VALUE!</x:v>
      </x:c>
      <x:c r="J29" s="64" t="e">
        <x:f>ROUND(E29*1.5,0)</x:f>
        <x:v>#VALUE!</x:v>
      </x:c>
      <x:c r="K29" s="64" t="e">
        <x:f>ROUND(E29*3,0)</x:f>
        <x:v>#VALUE!</x:v>
      </x:c>
      <x:c r="L29" s="64" t="e">
        <x:f>ROUND(E29*5.625,0)</x:f>
        <x:v>#VALUE!</x:v>
      </x:c>
      <x:c r="M29" s="64" t="e">
        <x:f>ROUND(E29,0)</x:f>
        <x:v>#VALUE!</x:v>
      </x:c>
      <x:c r="N29" s="65" t="e">
        <x:f>ROUND(E29*2,0)</x:f>
        <x:v>#VALUE!</x:v>
      </x:c>
    </x:row>
    <x:row r="30" ht="22" customHeight="1">
      <x:c r="A30" s="66" t="n">
        <x:v>352</x:v>
      </x:c>
      <x:c r="B30" s="51" t="str">
        <x:v>gate_23</x:v>
      </x:c>
      <x:c r="C30" s="56" t="str">
        <x:v>普通强化门</x:v>
      </x:c>
      <x:c r="D30" s="57" t="str">
        <x:v>Boss后复跑门；立即验证第四次特殊强化</x:v>
      </x:c>
      <x:c r="E30" s="63" t="e">
        <x:f>ROUND(配置!$B$4+(配置!$B$5-配置!$B$4)*POWER(MIN(MAX(A30/配置!$B$6,0),1),配置!$B$7),0)</x:f>
        <x:v>#NAME?</x:v>
      </x:c>
      <x:c r="F30" s="64" t="e">
        <x:f>ROUND(E30,0)</x:f>
        <x:v>#VALUE!</x:v>
      </x:c>
      <x:c r="G30" s="64" t="e">
        <x:f>ROUND(E30*2,0)</x:f>
        <x:v>#VALUE!</x:v>
      </x:c>
      <x:c r="H30" s="64" t="e">
        <x:f>ROUND(E30*0.75,0)</x:f>
        <x:v>#VALUE!</x:v>
      </x:c>
      <x:c r="I30" s="64" t="e">
        <x:f>ROUND(E30*1.5,0)</x:f>
        <x:v>#VALUE!</x:v>
      </x:c>
      <x:c r="J30" s="64" t="e">
        <x:f>ROUND(E30*1.5,0)</x:f>
        <x:v>#VALUE!</x:v>
      </x:c>
      <x:c r="K30" s="64" t="e">
        <x:f>ROUND(E30*3,0)</x:f>
        <x:v>#VALUE!</x:v>
      </x:c>
      <x:c r="L30" s="64" t="e">
        <x:f>ROUND(E30*5.625,0)</x:f>
        <x:v>#VALUE!</x:v>
      </x:c>
      <x:c r="M30" s="64" t="e">
        <x:f>ROUND(E30,0)</x:f>
        <x:v>#VALUE!</x:v>
      </x:c>
      <x:c r="N30" s="65" t="e">
        <x:f>ROUND(E30*2,0)</x:f>
        <x:v>#VALUE!</x:v>
      </x:c>
    </x:row>
  </x:sheetData>
  <x:pageMargins left="0.7" right="0.7" top="0.75" bottom="0.75" header="0.3" footer="0.3"/>
  <x:tableParts count="1">
    <x:tablePart xmlns:r="http://schemas.openxmlformats.org/officeDocument/2006/relationships" r:id="Rb372ae3f6cf0435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.399999618530273"/>
  <x:cols>
    <x:col min="1" max="1" width="18" customWidth="1"/>
    <x:col min="2" max="2" width="92" customWidth="1"/>
  </x:cols>
  <x:sheetData>
    <x:row r="1" ht="30" customHeight="1">
      <x:c r="A1" s="38" t="inlineStr">
        <x:is>
          <x:t xml:space="preserve">项目</x:t>
        </x:is>
      </x:c>
      <x:c r="B1" s="38" t="inlineStr">
        <x:is>
          <x:t xml:space="preserve">说明</x:t>
        </x:is>
      </x:c>
    </x:row>
    <x:row r="2" ht="42" customHeight="1">
      <x:c r="A2" s="2" t="inlineStr">
        <x:is>
          <x:t xml:space="preserve">推荐入口</x:t>
        </x:is>
      </x:c>
      <x:c r="B2" s="3" t="inlineStr">
        <x:is>
          <x:t xml:space="preserve">先看“时间轴预览”页；到“配置 / 事件”页修改黄色单元格。</x:t>
        </x:is>
      </x:c>
    </x:row>
    <x:row r="3" ht="42" customHeight="1">
      <x:c r="A3" s="4" t="inlineStr">
        <x:is>
          <x:t xml:space="preserve">生效方式</x:t>
        </x:is>
      </x:c>
      <x:c r="B3" s="5" t="inlineStr">
        <x:is>
          <x:t xml:space="preserve">保存并关闭工作簿后，重新开始本局或重新运行 run.tscn；游戏启动时直接读取此文件。</x:t>
        </x:is>
      </x:c>
    </x:row>
    <x:row r="4" ht="42" customHeight="1">
      <x:c r="A4" s="4" t="inlineStr">
        <x:is>
          <x:t xml:space="preserve">颜色含义</x:t>
        </x:is>
      </x:c>
      <x:c r="B4" s="5" t="inlineStr">
        <x:is>
          <x:t xml:space="preserve">黄色是人工输入；蓝色是联动公式；绿色是说明或分类。</x:t>
        </x:is>
      </x:c>
    </x:row>
    <x:row r="5" ht="42" customHeight="1">
      <x:c r="A5" s="4" t="inlineStr">
        <x:is>
          <x:t xml:space="preserve">输入规则</x:t>
        </x:is>
      </x:c>
      <x:c r="B5" s="5" t="inlineStr">
        <x:is>
          <x:t xml:space="preserve">关键参数和事件时间必须填写常量，不要在黄色输入格使用公式。</x:t>
        </x:is>
      </x:c>
    </x:row>
    <x:row r="6" ht="42" customHeight="1">
      <x:c r="A6" s="4" t="inlineStr">
        <x:is>
          <x:t xml:space="preserve">事件顺序</x:t>
        </x:is>
      </x:c>
      <x:c r="B6" s="5" t="inlineStr">
        <x:is>
          <x:t xml:space="preserve">事件按行顺序读取，请求时间必须从小到大或相等，事件ID不能为空。</x:t>
        </x:is>
      </x:c>
    </x:row>
    <x:row r="7" ht="42" customHeight="1">
      <x:c r="A7" s="4" t="inlineStr">
        <x:is>
          <x:t xml:space="preserve">预览范围</x:t>
        </x:is>
      </x:c>
      <x:c r="B7" s="5" t="inlineStr">
        <x:is>
          <x:t xml:space="preserve">食客与门的数字用于观察压力。普通波次频率、随机百分位和安全生成延迟仍由游戏逻辑决定。</x:t>
        </x:is>
      </x:c>
    </x:row>
    <x:row r="8" ht="42" customHeight="1">
      <x:c r="A8" s="4" t="inlineStr">
        <x:is>
          <x:t xml:space="preserve">失败回退</x:t>
        </x:is>
      </x:c>
      <x:c r="B8" s="5" t="inlineStr">
        <x:is>
          <x:t xml:space="preserve">文件缺失、结构不符或数据非法时，游戏使用 data/timelines/vertical_slice.tres 并打印警告。</x:t>
        </x:is>
      </x:c>
    </x:row>
    <x:row r="9" ht="42" customHeight="1">
      <x:c r="A9" s="4" t="inlineStr">
        <x:is>
          <x:t xml:space="preserve">结构保护</x:t>
        </x:is>
      </x:c>
      <x:c r="B9" s="5" t="inlineStr">
        <x:is>
          <x:t xml:space="preserve">schema_id 和 schema_version 用于防止错误工作簿被当作时间轴读取。</x:t>
        </x:is>
      </x:c>
    </x:row>
    <x:row r="10" ht="42" customHeight="1">
      <x:c r="A10" s="6" t="inlineStr">
        <x:is>
          <x:t xml:space="preserve">临时文件</x:t>
        </x:is>
      </x:c>
      <x:c r="B10" s="7" t="inlineStr">
        <x:is>
          <x:t xml:space="preserve">Excel 打开时产生的 ~$*.xlsx 不会被游戏读取，也不应提交到 Git。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1ccc37d24b23438e"/>
  </x:tableParts>
</x:worksheet>
</file>