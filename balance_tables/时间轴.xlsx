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e73e8985fb48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时间轴预览" sheetId="1" r:id="R1d278fa298fe4859"/>
    <x:sheet xmlns:r="http://schemas.openxmlformats.org/officeDocument/2006/relationships" name="配置" sheetId="2" r:id="R524a8b6a071b48bc"/>
    <x:sheet xmlns:r="http://schemas.openxmlformats.org/officeDocument/2006/relationships" name="事件" sheetId="3" r:id="Redd1474b93844bf2"/>
    <x:sheet xmlns:r="http://schemas.openxmlformats.org/officeDocument/2006/relationships" name="说明" sheetId="4" r:id="Re03028a66471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0.0"/>
    <x:numFmt numFmtId="200" formatCode="0.0%"/>
    <x:numFmt numFmtId="201" formatCode="0"/>
    <x:numFmt numFmtId="202" formatCode="0.###"/>
    <x:numFmt numFmtId="203" formatCode="#,##0.###"/>
    <x:numFmt numFmtId="204" formatCode="#,##0"/>
  </x:numFmts>
  <x:fonts count="10">
    <x:font>
      <x:sz val="11"/>
      <x:name val="Carlito"/>
    </x:font>
    <x:font>
      <x:b/>
      <x:sz val="10"/>
      <x:color rgb="FFFFFFFF"/>
      <x:name val="Microsoft YaHei"/>
    </x:font>
    <x:font>
      <x:sz val="10"/>
      <x:color rgb="FF243238"/>
      <x:name val="Microsoft YaHei"/>
    </x:font>
    <x:font>
      <x:b/>
      <x:sz val="18"/>
      <x:color rgb="FFFFFFFF"/>
      <x:name val="Microsoft YaHei"/>
    </x:font>
    <x:font>
      <x:b/>
      <x:sz val="11"/>
      <x:color rgb="FFFFFFFF"/>
      <x:name val="Microsoft YaHei"/>
    </x:font>
    <x:font>
      <x:b/>
      <x:sz val="10"/>
      <x:color rgb="FF243238"/>
      <x:name val="Microsoft YaHei"/>
    </x:font>
    <x:font>
      <x:sz val="11"/>
      <x:name val="Carlito"/>
    </x:font>
    <x:font>
      <x:sz val="10"/>
      <x:color rgb="FF1F2937"/>
      <x:name val="Carlito"/>
    </x:font>
    <x:font>
      <x:sz val="9"/>
      <x:name val="宋体"/>
    </x:font>
    <x:font>
      <x:b/>
      <x:sz val="12"/>
      <x:color rgb="FFFFFFFF"/>
      <x:name val="Microsoft YaHei"/>
    </x:font>
  </x:fonts>
  <x:fills count="18">
    <x:fill>
      <x:patternFill patternType="none"/>
    </x:fill>
    <x:fill>
      <x:patternFill patternType="gray125"/>
    </x:fill>
    <x:fill>
      <x:patternFill patternType="solid">
        <x:fgColor rgb="FF243238"/>
      </x:patternFill>
    </x:fill>
    <x:fill>
      <x:patternFill patternType="solid">
        <x:fgColor rgb="FFE8F3EC"/>
      </x:patternFill>
    </x:fill>
    <x:fill>
      <x:patternFill patternType="solid">
        <x:fgColor rgb="FFFFF3CD"/>
      </x:patternFill>
    </x:fill>
    <x:fill>
      <x:patternFill patternType="solid">
        <x:fgColor rgb="FFE7F0F8"/>
      </x:patternFill>
    </x:fill>
    <x:fill>
      <x:patternFill patternType="solid">
        <x:fgColor rgb="FFF5F7F6"/>
      </x:patternFill>
    </x:fill>
    <x:fill>
      <x:patternFill patternType="solid">
        <x:fgColor rgb="FF2D6F6A"/>
      </x:patternFill>
    </x:fill>
    <x:fill>
      <x:patternFill patternType="solid">
        <x:fgColor rgb="FFD9A44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3CD"/>
      </x:patternFill>
    </x:fill>
    <x:fill>
      <x:patternFill patternType="solid">
        <x:fgColor rgb="FF243238"/>
      </x:patternFill>
    </x:fill>
    <x:fill>
      <x:patternFill patternType="solid">
        <x:fgColor rgb="FFFFF3CD"/>
      </x:patternFill>
    </x:fill>
    <x:fill>
      <x:patternFill patternType="solid">
        <x:fgColor rgb="FFE8F3EC"/>
      </x:patternFill>
    </x:fill>
    <x:fill>
      <x:patternFill patternType="solid">
        <x:fgColor rgb="FFDCE7E1"/>
      </x:patternFill>
    </x:fill>
    <x:fill>
      <x:patternFill patternType="solid">
        <x:fgColor rgb="FFE7F0F8"/>
      </x:patternFill>
    </x:fill>
  </x:fills>
  <x:borders count="16">
    <x:border/>
    <x:border>
      <x:bottom style="thin">
        <x:color rgb="FFD7DDD9"/>
      </x:bottom>
    </x:border>
    <x:border>
      <x:top style="thin">
        <x:color rgb="FFD7DDD9"/>
      </x:top>
      <x:bottom style="thin">
        <x:color rgb="FFD7DDD9"/>
      </x:bottom>
    </x:border>
    <x:border>
      <x:top style="thin">
        <x:color rgb="FFD7DDD9"/>
      </x:top>
    </x:border>
    <x:border>
      <x:left style="thin">
        <x:color rgb="FFD7E3EB"/>
      </x:left>
      <x:top style="thin">
        <x:color rgb="FFD7E3EB"/>
      </x:top>
      <x:bottom style="thin">
        <x:color rgb="FFD7E3EB"/>
      </x:bottom>
    </x:border>
    <x:border>
      <x:right style="thin">
        <x:color rgb="FFD7E3EB"/>
      </x:right>
      <x:top style="thin">
        <x:color rgb="FFD7E3EB"/>
      </x:top>
      <x:bottom style="thin">
        <x:color rgb="FFD7E3EB"/>
      </x:bottom>
    </x:border>
    <x:border>
      <x:top style="thin">
        <x:color rgb="FFD7E3EB"/>
      </x:top>
      <x:bottom style="thin">
        <x:color rgb="FFD7E3EB"/>
      </x:bottom>
    </x:border>
    <x:border>
      <x:right style="thin">
        <x:color rgb="FFD7DDD9"/>
      </x:right>
      <x:bottom style="thin">
        <x:color rgb="FFD7DDD9"/>
      </x:bottom>
    </x:border>
    <x:border>
      <x:left style="thin">
        <x:color rgb="FFD7DDD9"/>
      </x:left>
      <x:right style="thin">
        <x:color rgb="FFD7DDD9"/>
      </x:right>
      <x:bottom style="thin">
        <x:color rgb="FFD7DDD9"/>
      </x:bottom>
    </x:border>
    <x:border>
      <x:left style="thin">
        <x:color rgb="FFD7DDD9"/>
      </x:left>
      <x:bottom style="thin">
        <x:color rgb="FFD7DDD9"/>
      </x:bottom>
    </x:border>
    <x:border>
      <x:right style="thin">
        <x:color rgb="FFD7DDD9"/>
      </x:right>
      <x:top style="thin">
        <x:color rgb="FFD7DDD9"/>
      </x:top>
      <x:bottom style="thin">
        <x:color rgb="FFD7DDD9"/>
      </x:bottom>
    </x:border>
    <x:border>
      <x:left style="thin">
        <x:color rgb="FFD7DDD9"/>
      </x:left>
      <x:right style="thin">
        <x:color rgb="FFD7DDD9"/>
      </x:right>
      <x:top style="thin">
        <x:color rgb="FFD7DDD9"/>
      </x:top>
      <x:bottom style="thin">
        <x:color rgb="FFD7DDD9"/>
      </x:bottom>
    </x:border>
    <x:border>
      <x:left style="thin">
        <x:color rgb="FFD7DDD9"/>
      </x:left>
      <x:top style="thin">
        <x:color rgb="FFD7DDD9"/>
      </x:top>
      <x:bottom style="thin">
        <x:color rgb="FFD7DDD9"/>
      </x:bottom>
    </x:border>
    <x:border>
      <x:right style="thin">
        <x:color rgb="FFD7DDD9"/>
      </x:right>
      <x:top style="thin">
        <x:color rgb="FFD7DDD9"/>
      </x:top>
    </x:border>
    <x:border>
      <x:left style="thin">
        <x:color rgb="FFD7DDD9"/>
      </x:left>
      <x:right style="thin">
        <x:color rgb="FFD7DDD9"/>
      </x:right>
      <x:top style="thin">
        <x:color rgb="FFD7DDD9"/>
      </x:top>
    </x:border>
    <x:border>
      <x:left style="thin">
        <x:color rgb="FFD7DDD9"/>
      </x:left>
      <x:top style="thin">
        <x:color rgb="FFD7DDD9"/>
      </x:top>
    </x:border>
  </x:borders>
  <x:cellStyleXfs count="2">
    <x:xf numFmtId="0" fontId="6" fillId="0" borderId="0"/>
    <x:xf numFmtId="0" fontId="6" fillId="0" borderId="0"/>
  </x:cellStyleXfs>
  <x:cellXfs count="166">
    <x:xf numFmtId="0" fontId="0" fillId="0" borderId="0" xfId="0"/>
    <x:xf numFmtId="0" fontId="2" fillId="3" borderId="1" xfId="1" applyAlignment="1">
      <x:alignment vertical="center"/>
    </x:xf>
    <x:xf numFmtId="0" fontId="2" fillId="0" borderId="1" xfId="1" applyAlignment="1">
      <x:alignment vertical="center" wrapText="1"/>
    </x:xf>
    <x:xf numFmtId="0" fontId="2" fillId="3" borderId="2" xfId="1" applyAlignment="1">
      <x:alignment vertical="center"/>
    </x:xf>
    <x:xf numFmtId="0" fontId="2" fillId="0" borderId="2" xfId="1" applyAlignment="1">
      <x:alignment vertical="center" wrapText="1"/>
    </x:xf>
    <x:xf numFmtId="0" fontId="2" fillId="3" borderId="3" xfId="1" applyAlignment="1">
      <x:alignment vertical="center"/>
    </x:xf>
    <x:xf numFmtId="0" fontId="2" fillId="0" borderId="3" xfId="1" applyAlignment="1">
      <x:alignment vertical="center" wrapText="1"/>
    </x:xf>
    <x:xf numFmtId="0" fontId="2" fillId="4" borderId="1" xfId="1" applyAlignment="1">
      <x:alignment vertical="center"/>
    </x:xf>
    <x:xf numFmtId="0" fontId="2" fillId="3" borderId="1" xfId="1" applyAlignment="1">
      <x:alignment vertical="center" wrapText="1"/>
    </x:xf>
    <x:xf numFmtId="1" fontId="2" fillId="5" borderId="1" xfId="1" applyAlignment="1">
      <x:alignment vertical="center"/>
    </x:xf>
    <x:xf numFmtId="0" fontId="2" fillId="4" borderId="2" xfId="1" applyAlignment="1">
      <x:alignment vertical="center"/>
    </x:xf>
    <x:xf numFmtId="0" fontId="2" fillId="3" borderId="2" xfId="1" applyAlignment="1">
      <x:alignment vertical="center" wrapText="1"/>
    </x:xf>
    <x:xf numFmtId="1" fontId="2" fillId="5" borderId="2" xfId="1" applyAlignment="1">
      <x:alignment vertical="center"/>
    </x:xf>
    <x:xf numFmtId="0" fontId="2" fillId="4" borderId="3" xfId="1" applyAlignment="1">
      <x:alignment vertical="center"/>
    </x:xf>
    <x:xf numFmtId="0" fontId="2" fillId="3" borderId="3" xfId="1" applyAlignment="1">
      <x:alignment vertical="center" wrapText="1"/>
    </x:xf>
    <x:xf numFmtId="1" fontId="2" fillId="5" borderId="3" xfId="1" applyAlignment="1">
      <x:alignment vertical="center"/>
    </x:xf>
    <x:xf numFmtId="0" fontId="2" fillId="0" borderId="1" xfId="1" applyAlignment="1">
      <x:alignment vertical="center"/>
    </x:xf>
    <x:xf numFmtId="0" fontId="2" fillId="0" borderId="2" xfId="1" applyAlignment="1">
      <x:alignment vertical="center"/>
    </x:xf>
    <x:xf numFmtId="2" fontId="2" fillId="4" borderId="2" xfId="1" applyAlignment="1">
      <x:alignment vertical="center"/>
    </x:xf>
    <x:xf numFmtId="0" fontId="2" fillId="0" borderId="3" xfId="1" applyAlignment="1">
      <x:alignment vertical="center"/>
    </x:xf>
    <x:xf numFmtId="2" fontId="2" fillId="4" borderId="3" xfId="1" applyAlignment="1">
      <x:alignment vertical="center"/>
    </x:xf>
    <x:xf numFmtId="2" fontId="2" fillId="5" borderId="1" xfId="1" applyAlignment="1">
      <x:alignment vertical="center"/>
    </x:xf>
    <x:xf numFmtId="2" fontId="2" fillId="5" borderId="2" xfId="1" applyAlignment="1">
      <x:alignment vertical="center"/>
    </x:xf>
    <x:xf numFmtId="2" fontId="2" fillId="5" borderId="3" xfId="1" applyAlignment="1">
      <x:alignment vertical="center"/>
    </x:xf>
    <x:xf numFmtId="0" fontId="2" fillId="5" borderId="1" xfId="1" applyAlignment="1">
      <x:alignment vertical="center"/>
    </x:xf>
    <x:xf numFmtId="0" fontId="5" fillId="3" borderId="0" xfId="1" applyAlignment="1">
      <x:alignment vertical="center"/>
    </x:xf>
    <x:xf numFmtId="0" fontId="2" fillId="5" borderId="2" xfId="1" applyAlignment="1">
      <x:alignment vertical="center"/>
    </x:xf>
    <x:xf numFmtId="0" fontId="2" fillId="5" borderId="3" xfId="1" applyAlignment="1">
      <x:alignment vertical="center"/>
    </x:xf>
    <x:xf numFmtId="0" fontId="5" fillId="8" borderId="0" xfId="1" applyAlignment="1">
      <x:alignment horizontal="center" vertical="center"/>
    </x:xf>
    <x:xf numFmtId="0" fontId="7" fillId="9" borderId="5" xfId="0" applyAlignment="1">
      <x:alignment vertical="center"/>
    </x:xf>
    <x:xf numFmtId="0" fontId="7" fillId="10" borderId="4" xfId="0" applyAlignment="1">
      <x:alignment vertical="center"/>
    </x:xf>
    <x:xf numFmtId="0" fontId="7" fillId="10" borderId="5" xfId="0" applyAlignment="1">
      <x:alignment vertical="center"/>
    </x:xf>
    <x:xf numFmtId="0" fontId="7" fillId="11" borderId="4" xfId="0" applyAlignment="1">
      <x:alignment vertical="center"/>
    </x:xf>
    <x:xf numFmtId="0" fontId="7" fillId="11" borderId="6" xfId="0" applyAlignment="1">
      <x:alignment vertical="center"/>
    </x:xf>
    <x:xf numFmtId="0" fontId="7" fillId="11" borderId="5" xfId="0" applyAlignment="1">
      <x:alignment vertical="center"/>
    </x:xf>
    <x:xf numFmtId="2" fontId="0" fillId="12" borderId="0" xfId="0"/>
    <x:xf numFmtId="0" fontId="0" fillId="0" borderId="0" xfId="0"/>
    <x:xf numFmtId="0" fontId="1" fillId="2" borderId="0" xfId="1" applyAlignment="1">
      <x:alignment horizontal="center" vertical="center" wrapText="1"/>
    </x:xf>
    <x:xf numFmtId="164" fontId="2" fillId="5" borderId="1" xfId="1" applyAlignment="1">
      <x:alignment vertical="center"/>
    </x:xf>
    <x:xf numFmtId="164" fontId="2" fillId="5" borderId="2" xfId="1" applyAlignment="1">
      <x:alignment vertical="center"/>
    </x:xf>
    <x:xf numFmtId="164" fontId="2" fillId="5" borderId="3" xfId="1" applyAlignment="1">
      <x:alignment vertical="center"/>
    </x:xf>
    <x:xf numFmtId="164" fontId="2" fillId="4" borderId="1" xfId="1" applyAlignment="1">
      <x:alignment vertical="center"/>
    </x:xf>
    <x:xf numFmtId="164" fontId="2" fillId="4" borderId="2" xfId="1" applyAlignment="1">
      <x:alignment vertical="center"/>
    </x:xf>
    <x:xf numFmtId="164" fontId="2" fillId="4" borderId="3" xfId="1" applyAlignment="1">
      <x:alignment vertical="center"/>
    </x:xf>
    <x:xf numFmtId="164" fontId="7" fillId="9" borderId="4" xfId="0" applyAlignment="1">
      <x:alignment vertical="center"/>
    </x:xf>
    <x:xf numFmtId="0" fontId="2" fillId="6" borderId="0" xfId="1" applyAlignment="1">
      <x:alignment vertical="center" wrapText="1"/>
    </x:xf>
    <x:xf numFmtId="0" fontId="0" fillId="0" borderId="0" xfId="0"/>
    <x:xf numFmtId="0" fontId="3" fillId="2" borderId="0" xfId="1" applyAlignment="1">
      <x:alignment vertical="center"/>
    </x:xf>
    <x:xf numFmtId="0" fontId="4" fillId="7" borderId="0" xfId="1" applyAlignment="1">
      <x:alignment vertical="center"/>
    </x:xf>
    <x:xf numFmtId="0" fontId="1" fillId="2" borderId="0" xfId="1" applyAlignment="1">
      <x:alignment horizontal="center" vertical="center" wrapText="1"/>
    </x:xf>
    <x:xf numFmtId="164" fontId="2" fillId="5" borderId="1" xfId="1" applyAlignment="1">
      <x:alignment vertical="center"/>
    </x:xf>
    <x:xf numFmtId="164" fontId="2" fillId="5" borderId="2" xfId="1" applyAlignment="1">
      <x:alignment vertical="center"/>
    </x:xf>
    <x:xf numFmtId="164" fontId="2" fillId="5" borderId="3" xfId="1" applyAlignment="1">
      <x:alignment vertical="center"/>
    </x:xf>
    <x:xf numFmtId="164" fontId="2" fillId="4" borderId="1" xfId="1" applyAlignment="1">
      <x:alignment vertical="center"/>
    </x:xf>
    <x:xf numFmtId="164" fontId="2" fillId="4" borderId="2" xfId="1" applyAlignment="1">
      <x:alignment vertical="center"/>
    </x:xf>
    <x:xf numFmtId="164" fontId="2" fillId="4" borderId="3" xfId="1" applyAlignment="1">
      <x:alignment vertical="center"/>
    </x:xf>
    <x:xf numFmtId="164" fontId="7" fillId="9" borderId="4" xfId="0" applyAlignment="1">
      <x:alignment vertical="center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 wrapText="1"/>
    </x:xf>
    <x:xf numFmtId="0" fontId="0" fillId="14" borderId="0" xfId="0" applyNumberFormat="1" applyFont="1" applyFill="1" applyBorder="1"/>
    <x:xf numFmtId="0" fontId="0" fillId="15" borderId="0" xfId="0" applyNumberFormat="1" applyFont="1" applyFill="1" applyBorder="1"/>
    <x:xf numFmtId="200" fontId="0" fillId="14" borderId="0" xfId="0" applyNumberFormat="1" applyFont="1" applyFill="1" applyBorder="1"/>
    <x:xf numFmtId="164" fontId="0" fillId="14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1" fillId="13" borderId="7" xfId="0" applyNumberFormat="1" applyFont="1" applyFill="1" applyBorder="1" applyAlignment="1">
      <x:alignment horizontal="center" wrapText="1"/>
    </x:xf>
    <x:xf numFmtId="0" fontId="1" fillId="13" borderId="8" xfId="0" applyNumberFormat="1" applyFont="1" applyFill="1" applyBorder="1" applyAlignment="1">
      <x:alignment horizontal="center" wrapText="1"/>
    </x:xf>
    <x:xf numFmtId="0" fontId="1" fillId="13" borderId="9" xfId="0" applyNumberFormat="1" applyFont="1" applyFill="1" applyBorder="1" applyAlignment="1">
      <x:alignment horizontal="center" wrapText="1"/>
    </x:xf>
    <x:xf numFmtId="200" fontId="0" fillId="14" borderId="10" xfId="0" applyNumberFormat="1" applyFont="1" applyFill="1" applyBorder="1"/>
    <x:xf numFmtId="0" fontId="0" fillId="14" borderId="11" xfId="0" applyNumberFormat="1" applyFont="1" applyFill="1" applyBorder="1"/>
    <x:xf numFmtId="0" fontId="0" fillId="15" borderId="11" xfId="0" applyNumberFormat="1" applyFont="1" applyFill="1" applyBorder="1"/>
    <x:xf numFmtId="0" fontId="0" fillId="15" borderId="11" xfId="0" applyNumberFormat="1" applyFont="1" applyFill="1" applyBorder="1" applyAlignment="1">
      <x:alignment wrapText="1"/>
    </x:xf>
    <x:xf numFmtId="164" fontId="0" fillId="14" borderId="12" xfId="0" applyNumberFormat="1" applyFont="1" applyFill="1" applyBorder="1"/>
    <x:xf numFmtId="200" fontId="0" fillId="14" borderId="13" xfId="0" applyNumberFormat="1" applyFont="1" applyFill="1" applyBorder="1"/>
    <x:xf numFmtId="0" fontId="0" fillId="14" borderId="14" xfId="0" applyNumberFormat="1" applyFont="1" applyFill="1" applyBorder="1"/>
    <x:xf numFmtId="0" fontId="0" fillId="15" borderId="14" xfId="0" applyNumberFormat="1" applyFont="1" applyFill="1" applyBorder="1"/>
    <x:xf numFmtId="0" fontId="0" fillId="15" borderId="14" xfId="0" applyNumberFormat="1" applyFont="1" applyFill="1" applyBorder="1" applyAlignment="1">
      <x:alignment wrapText="1"/>
    </x:xf>
    <x:xf numFmtId="164" fontId="0" fillId="14" borderId="15" xfId="0" applyNumberFormat="1" applyFont="1" applyFill="1" applyBorder="1"/>
    <x:xf numFmtId="0" fontId="1" fillId="13" borderId="0" xfId="0" applyNumberFormat="1" applyFont="1" applyFill="1" applyBorder="1" applyAlignment="1">
      <x:alignment horizontal="center" vertical="center" wrapText="1"/>
    </x:xf>
    <x:xf numFmtId="0" fontId="2" fillId="15" borderId="1" xfId="0" applyNumberFormat="1" applyFont="1" applyFill="1" applyBorder="1" applyAlignment="1">
      <x:alignment vertical="center"/>
    </x:xf>
    <x:xf numFmtId="0" fontId="2" fillId="15" borderId="2" xfId="0" applyNumberFormat="1" applyFont="1" applyFill="1" applyBorder="1" applyAlignment="1">
      <x:alignment vertical="center"/>
    </x:xf>
    <x:xf numFmtId="0" fontId="2" fillId="15" borderId="3" xfId="0" applyNumberFormat="1" applyFont="1" applyFill="1" applyBorder="1" applyAlignment="1">
      <x:alignment vertical="center"/>
    </x:xf>
    <x:xf numFmtId="2" fontId="2" fillId="15" borderId="2" xfId="0" applyNumberFormat="1" applyFont="1" applyFill="1" applyBorder="1" applyAlignment="1">
      <x:alignment vertical="center"/>
    </x:xf>
    <x:xf numFmtId="2" fontId="2" fillId="14" borderId="2" xfId="0" applyNumberFormat="1" applyFont="1" applyFill="1" applyBorder="1" applyAlignment="1">
      <x:alignment vertical="center"/>
    </x:xf>
    <x:xf numFmtId="2" fontId="2" fillId="14" borderId="3" xfId="0" applyNumberFormat="1" applyFont="1" applyFill="1" applyBorder="1" applyAlignment="1">
      <x:alignment vertical="center"/>
    </x:xf>
    <x:xf numFmtId="2" fontId="0" fillId="14" borderId="0" xfId="0" applyNumberFormat="1" applyFont="1" applyFill="1" applyBorder="1"/>
    <x:xf numFmtId="0" fontId="2" fillId="15" borderId="1" xfId="0" applyNumberFormat="1" applyFont="1" applyFill="1" applyBorder="1" applyAlignment="1">
      <x:alignment vertical="center" wrapText="1"/>
    </x:xf>
    <x:xf numFmtId="0" fontId="2" fillId="15" borderId="2" xfId="0" applyNumberFormat="1" applyFont="1" applyFill="1" applyBorder="1" applyAlignment="1">
      <x:alignment vertical="center" wrapText="1"/>
    </x:xf>
    <x:xf numFmtId="0" fontId="2" fillId="15" borderId="3" xfId="0" applyNumberFormat="1" applyFont="1" applyFill="1" applyBorder="1" applyAlignment="1">
      <x:alignment vertical="center" wrapText="1"/>
    </x:xf>
    <x:xf numFmtId="0" fontId="1" fillId="13" borderId="7" xfId="0" applyNumberFormat="1" applyFont="1" applyFill="1" applyBorder="1" applyAlignment="1">
      <x:alignment horizontal="center" vertical="center" wrapText="1"/>
    </x:xf>
    <x:xf numFmtId="0" fontId="1" fillId="13" borderId="8" xfId="0" applyNumberFormat="1" applyFont="1" applyFill="1" applyBorder="1" applyAlignment="1">
      <x:alignment horizontal="center" vertical="center" wrapText="1"/>
    </x:xf>
    <x:xf numFmtId="0" fontId="1" fillId="13" borderId="9" xfId="0" applyNumberFormat="1" applyFont="1" applyFill="1" applyBorder="1" applyAlignment="1">
      <x:alignment horizontal="center" vertical="center" wrapText="1"/>
    </x:xf>
    <x:xf numFmtId="0" fontId="2" fillId="15" borderId="10" xfId="0" applyNumberFormat="1" applyFont="1" applyFill="1" applyBorder="1" applyAlignment="1">
      <x:alignment vertical="center"/>
    </x:xf>
    <x:xf numFmtId="0" fontId="2" fillId="15" borderId="11" xfId="0" applyNumberFormat="1" applyFont="1" applyFill="1" applyBorder="1" applyAlignment="1">
      <x:alignment vertical="center"/>
    </x:xf>
    <x:xf numFmtId="0" fontId="2" fillId="15" borderId="11" xfId="0" applyNumberFormat="1" applyFont="1" applyFill="1" applyBorder="1" applyAlignment="1">
      <x:alignment vertical="center" wrapText="1"/>
    </x:xf>
    <x:xf numFmtId="0" fontId="2" fillId="15" borderId="12" xfId="0" applyNumberFormat="1" applyFont="1" applyFill="1" applyBorder="1" applyAlignment="1">
      <x:alignment vertical="center" wrapText="1"/>
    </x:xf>
    <x:xf numFmtId="2" fontId="2" fillId="15" borderId="11" xfId="0" applyNumberFormat="1" applyFont="1" applyFill="1" applyBorder="1" applyAlignment="1">
      <x:alignment vertical="center"/>
    </x:xf>
    <x:xf numFmtId="2" fontId="2" fillId="14" borderId="11" xfId="0" applyNumberFormat="1" applyFont="1" applyFill="1" applyBorder="1" applyAlignment="1">
      <x:alignment vertical="center"/>
    </x:xf>
    <x:xf numFmtId="0" fontId="0" fillId="15" borderId="10" xfId="0" applyNumberFormat="1" applyFont="1" applyFill="1" applyBorder="1"/>
    <x:xf numFmtId="2" fontId="0" fillId="14" borderId="11" xfId="0" applyNumberFormat="1" applyFont="1" applyFill="1" applyBorder="1"/>
    <x:xf numFmtId="0" fontId="0" fillId="15" borderId="12" xfId="0" applyNumberFormat="1" applyFont="1" applyFill="1" applyBorder="1" applyAlignment="1">
      <x:alignment wrapText="1"/>
    </x:xf>
    <x:xf numFmtId="0" fontId="0" fillId="15" borderId="13" xfId="0" applyNumberFormat="1" applyFont="1" applyFill="1" applyBorder="1"/>
    <x:xf numFmtId="0" fontId="0" fillId="15" borderId="15" xfId="0" applyNumberFormat="1" applyFont="1" applyFill="1" applyBorder="1" applyAlignment="1">
      <x:alignment wrapText="1"/>
    </x:xf>
    <x:xf numFmtId="201" fontId="2" fillId="15" borderId="11" xfId="0" applyNumberFormat="1" applyFont="1" applyFill="1" applyBorder="1" applyAlignment="1">
      <x:alignment vertical="center"/>
    </x:xf>
    <x:xf numFmtId="202" fontId="2" fillId="14" borderId="11" xfId="0" applyNumberFormat="1" applyFont="1" applyFill="1" applyBorder="1" applyAlignment="1">
      <x:alignment vertical="center"/>
    </x:xf>
    <x:xf numFmtId="202" fontId="0" fillId="14" borderId="11" xfId="0" applyNumberFormat="1" applyFont="1" applyFill="1" applyBorder="1"/>
    <x:xf numFmtId="202" fontId="0" fillId="14" borderId="14" xfId="0" applyNumberFormat="1" applyFont="1" applyFill="1" applyBorder="1"/>
    <x:xf numFmtId="0" fontId="2" fillId="0" borderId="0" xfId="0" applyNumberFormat="1" applyFont="1" applyFill="1" applyBorder="1"/>
    <x:xf numFmtId="0" fontId="2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left"/>
    </x:xf>
    <x:xf numFmtId="0" fontId="3" fillId="13" borderId="0" xfId="0" applyNumberFormat="1" applyFont="1" applyFill="1" applyBorder="1" applyAlignment="1">
      <x:alignment horizontal="left" vertical="center"/>
    </x:xf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left" wrapText="1"/>
    </x:xf>
    <x:xf numFmtId="0" fontId="2" fillId="15" borderId="0" xfId="0" applyNumberFormat="1" applyFont="1" applyFill="1" applyBorder="1" applyAlignment="1">
      <x:alignment horizontal="left" vertical="center" wrapText="1"/>
    </x:xf>
    <x:xf numFmtId="0" fontId="9" fillId="13" borderId="0" xfId="0" applyNumberFormat="1" applyFont="1" applyFill="1" applyBorder="1"/>
    <x:xf numFmtId="0" fontId="2" fillId="16" borderId="0" xfId="0" applyNumberFormat="1" applyFont="1" applyFill="1" applyBorder="1"/>
    <x:xf numFmtId="0" fontId="5" fillId="16" borderId="0" xfId="0" applyNumberFormat="1" applyFont="1" applyFill="1" applyBorder="1"/>
    <x:xf numFmtId="0" fontId="2" fillId="17" borderId="0" xfId="0" applyNumberFormat="1" applyFont="1" applyFill="1" applyBorder="1"/>
    <x:xf numFmtId="0" fontId="9" fillId="13" borderId="7" xfId="0" applyNumberFormat="1" applyFont="1" applyFill="1" applyBorder="1"/>
    <x:xf numFmtId="0" fontId="9" fillId="13" borderId="8" xfId="0" applyNumberFormat="1" applyFont="1" applyFill="1" applyBorder="1"/>
    <x:xf numFmtId="0" fontId="9" fillId="13" borderId="9" xfId="0" applyNumberFormat="1" applyFont="1" applyFill="1" applyBorder="1"/>
    <x:xf numFmtId="0" fontId="5" fillId="16" borderId="10" xfId="0" applyNumberFormat="1" applyFont="1" applyFill="1" applyBorder="1"/>
    <x:xf numFmtId="0" fontId="5" fillId="16" borderId="11" xfId="0" applyNumberFormat="1" applyFont="1" applyFill="1" applyBorder="1"/>
    <x:xf numFmtId="0" fontId="5" fillId="16" borderId="12" xfId="0" applyNumberFormat="1" applyFont="1" applyFill="1" applyBorder="1"/>
    <x:xf numFmtId="0" fontId="2" fillId="15" borderId="10" xfId="0" applyNumberFormat="1" applyFont="1" applyFill="1" applyBorder="1"/>
    <x:xf numFmtId="0" fontId="2" fillId="17" borderId="11" xfId="0" applyNumberFormat="1" applyFont="1" applyFill="1" applyBorder="1"/>
    <x:xf numFmtId="0" fontId="2" fillId="0" borderId="11" xfId="0" applyNumberFormat="1" applyFont="1" applyFill="1" applyBorder="1"/>
    <x:xf numFmtId="0" fontId="2" fillId="15" borderId="11" xfId="0" applyNumberFormat="1" applyFont="1" applyFill="1" applyBorder="1"/>
    <x:xf numFmtId="0" fontId="2" fillId="17" borderId="12" xfId="0" applyNumberFormat="1" applyFont="1" applyFill="1" applyBorder="1"/>
    <x:xf numFmtId="0" fontId="2" fillId="0" borderId="12" xfId="0" applyNumberFormat="1" applyFont="1" applyFill="1" applyBorder="1"/>
    <x:xf numFmtId="0" fontId="2" fillId="15" borderId="13" xfId="0" applyNumberFormat="1" applyFont="1" applyFill="1" applyBorder="1"/>
    <x:xf numFmtId="0" fontId="2" fillId="17" borderId="14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203" fontId="2" fillId="17" borderId="11" xfId="0" applyNumberFormat="1" applyFont="1" applyFill="1" applyBorder="1"/>
    <x:xf numFmtId="203" fontId="2" fillId="17" borderId="14" xfId="0" applyNumberFormat="1" applyFont="1" applyFill="1" applyBorder="1"/>
    <x:xf numFmtId="203" fontId="2" fillId="17" borderId="12" xfId="0" applyNumberFormat="1" applyFont="1" applyFill="1" applyBorder="1"/>
    <x:xf numFmtId="0" fontId="5" fillId="16" borderId="0" xfId="0" applyNumberFormat="1" applyFont="1" applyFill="1" applyBorder="1" applyAlignment="1">
      <x:alignment horizontal="center"/>
    </x:xf>
    <x:xf numFmtId="0" fontId="2" fillId="14" borderId="0" xfId="0" applyNumberFormat="1" applyFont="1" applyFill="1" applyBorder="1"/>
    <x:xf numFmtId="200" fontId="2" fillId="14" borderId="0" xfId="0" applyNumberFormat="1" applyFont="1" applyFill="1" applyBorder="1"/>
    <x:xf numFmtId="164" fontId="2" fillId="14" borderId="0" xfId="0" applyNumberFormat="1" applyFont="1" applyFill="1" applyBorder="1"/>
    <x:xf numFmtId="0" fontId="5" fillId="16" borderId="10" xfId="0" applyNumberFormat="1" applyFont="1" applyFill="1" applyBorder="1" applyAlignment="1">
      <x:alignment horizontal="center"/>
    </x:xf>
    <x:xf numFmtId="0" fontId="5" fillId="16" borderId="11" xfId="0" applyNumberFormat="1" applyFont="1" applyFill="1" applyBorder="1" applyAlignment="1">
      <x:alignment horizontal="center"/>
    </x:xf>
    <x:xf numFmtId="0" fontId="5" fillId="16" borderId="12" xfId="0" applyNumberFormat="1" applyFont="1" applyFill="1" applyBorder="1" applyAlignment="1">
      <x:alignment horizontal="center"/>
    </x:xf>
    <x:xf numFmtId="200" fontId="2" fillId="14" borderId="10" xfId="0" applyNumberFormat="1" applyFont="1" applyFill="1" applyBorder="1"/>
    <x:xf numFmtId="0" fontId="2" fillId="14" borderId="11" xfId="0" applyNumberFormat="1" applyFont="1" applyFill="1" applyBorder="1"/>
    <x:xf numFmtId="164" fontId="2" fillId="14" borderId="12" xfId="0" applyNumberFormat="1" applyFont="1" applyFill="1" applyBorder="1"/>
    <x:xf numFmtId="200" fontId="2" fillId="14" borderId="13" xfId="0" applyNumberFormat="1" applyFont="1" applyFill="1" applyBorder="1"/>
    <x:xf numFmtId="0" fontId="2" fillId="14" borderId="14" xfId="0" applyNumberFormat="1" applyFont="1" applyFill="1" applyBorder="1"/>
    <x:xf numFmtId="0" fontId="2" fillId="15" borderId="14" xfId="0" applyNumberFormat="1" applyFont="1" applyFill="1" applyBorder="1"/>
    <x:xf numFmtId="164" fontId="2" fillId="14" borderId="15" xfId="0" applyNumberFormat="1" applyFont="1" applyFill="1" applyBorder="1"/>
    <x:xf numFmtId="0" fontId="2" fillId="15" borderId="11" xfId="0" applyNumberFormat="1" applyFont="1" applyFill="1" applyBorder="1" applyAlignment="1">
      <x:alignment wrapText="1"/>
    </x:xf>
    <x:xf numFmtId="0" fontId="2" fillId="15" borderId="14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horizontal="center"/>
    </x:xf>
    <x:xf numFmtId="0" fontId="1" fillId="13" borderId="7" xfId="0" applyNumberFormat="1" applyFont="1" applyFill="1" applyBorder="1" applyAlignment="1">
      <x:alignment horizontal="center"/>
    </x:xf>
    <x:xf numFmtId="0" fontId="1" fillId="13" borderId="9" xfId="0" applyNumberFormat="1" applyFont="1" applyFill="1" applyBorder="1" applyAlignment="1">
      <x:alignment horizontal="center"/>
    </x:xf>
    <x:xf numFmtId="0" fontId="2" fillId="17" borderId="10" xfId="0" applyNumberFormat="1" applyFont="1" applyFill="1" applyBorder="1"/>
    <x:xf numFmtId="0" fontId="2" fillId="17" borderId="13" xfId="0" applyNumberFormat="1" applyFont="1" applyFill="1" applyBorder="1"/>
    <x:xf numFmtId="0" fontId="2" fillId="17" borderId="15" xfId="0" applyNumberFormat="1" applyFont="1" applyFill="1" applyBorder="1"/>
    <x:xf numFmtId="201" fontId="2" fillId="17" borderId="10" xfId="0" applyNumberFormat="1" applyFont="1" applyFill="1" applyBorder="1"/>
    <x:xf numFmtId="201" fontId="2" fillId="17" borderId="13" xfId="0" applyNumberFormat="1" applyFont="1" applyFill="1" applyBorder="1"/>
    <x:xf numFmtId="204" fontId="2" fillId="17" borderId="12" xfId="0" applyNumberFormat="1" applyFont="1" applyFill="1" applyBorder="1"/>
    <x:xf numFmtId="204" fontId="2" fillId="17" borderId="15" xfId="0" applyNumberFormat="1" applyFont="1" applyFill="1" applyBorder="1"/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970a1aa2014076" /><Relationship Type="http://schemas.openxmlformats.org/officeDocument/2006/relationships/theme" Target="/xl/theme/theme1.xml" Id="Rb19644d048f34a77" /><Relationship Type="http://schemas.openxmlformats.org/officeDocument/2006/relationships/sharedStrings" Target="/xl/sharedStrings.xml" Id="R378fc3818208450d" /><Relationship Type="http://schemas.openxmlformats.org/officeDocument/2006/relationships/worksheet" Target="/xl/worksheets/sheet1.xml" Id="R1d278fa298fe4859" /><Relationship Type="http://schemas.openxmlformats.org/officeDocument/2006/relationships/worksheet" Target="/xl/worksheets/sheet2.xml" Id="R524a8b6a071b48bc" /><Relationship Type="http://schemas.openxmlformats.org/officeDocument/2006/relationships/worksheet" Target="/xl/worksheets/sheet3.xml" Id="Redd1474b93844bf2" /><Relationship Type="http://schemas.openxmlformats.org/officeDocument/2006/relationships/worksheet" Target="/xl/worksheets/sheet4.xml" Id="Re03028a664714f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0b6edf6fe744fd" /><Relationship Type="http://schemas.openxmlformats.org/officeDocument/2006/relationships/chart" Target="/xl/drawings/charts/chart2.xml" Id="Rf7fe784860f14521" /><Relationship Type="http://schemas.openxmlformats.org/officeDocument/2006/relationships/chart" Target="/xl/drawings/charts/chart3.xml" Id="Rd93bf0d3666445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第一段 · 0–135s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基准胃口</c:v>
          </c:tx>
          <c:spPr>
            <a:solidFill xmlns:a="http://schemas.openxmlformats.org/drawingml/2006/main">
              <a:srgbClr val="4E79A7"/>
            </a:solidFill>
          </c:spPr>
          <c:marker>
            <c:symbol val="none"/>
          </c:marker>
          <c:cat>
            <c:strRef>
              <c:f>'时间轴预览'!$A$20:$A$30</c:f>
              <c:strCache>
                <c:ptCount val="0"/>
              </c:strCache>
            </c:strRef>
          </c:cat>
          <c:val>
            <c:numRef>
              <c:f>'时间轴预览'!$B$20:$B$30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有效时间（秒）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基准胃口</a:t>
                </a:r>
              </a:p>
            </c:rich>
          </c:tx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第二段 · 135–300s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基准胃口</c:v>
          </c:tx>
          <c:spPr>
            <a:solidFill xmlns:a="http://schemas.openxmlformats.org/drawingml/2006/main">
              <a:srgbClr val="59A14F"/>
            </a:solidFill>
          </c:spPr>
          <c:marker>
            <c:symbol val="none"/>
          </c:marker>
          <c:cat>
            <c:strRef>
              <c:f>'时间轴预览'!$A$35:$A$45</c:f>
              <c:strCache>
                <c:ptCount val="0"/>
              </c:strCache>
            </c:strRef>
          </c:cat>
          <c:val>
            <c:numRef>
              <c:f>'时间轴预览'!$B$35:$B$45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有效时间（秒）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基准胃口</a:t>
                </a:r>
              </a:p>
            </c:rich>
          </c:tx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第三段 · 300–480s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ser>
          <c:idx val="0"/>
          <c:order val="0"/>
          <c:tx>
            <c:v>基准胃口</c:v>
          </c:tx>
          <c:spPr>
            <a:solidFill xmlns:a="http://schemas.openxmlformats.org/drawingml/2006/main">
              <a:srgbClr val="E15759"/>
            </a:solidFill>
          </c:spPr>
          <c:marker>
            <c:symbol val="none"/>
          </c:marker>
          <c:cat>
            <c:strRef>
              <c:f>'时间轴预览'!$A$50:$A$60</c:f>
              <c:strCache>
                <c:ptCount val="0"/>
              </c:strCache>
            </c:strRef>
          </c:cat>
          <c:val>
            <c:numRef>
              <c:f>'时间轴预览'!$B$50:$B$60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有效时间（秒）</a:t>
                </a:r>
              </a:p>
            </c:rich>
          </c:tx>
        </c:title>
        <c:numFmt formatCode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基准胃口</a:t>
                </a:r>
              </a:p>
            </c:rich>
          </c:tx>
        </c:title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18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0b6edf6fe744fd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10</xdr:col>
      <xdr:colOff>0</xdr:colOff>
      <xdr:row>46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fe784860f14521"/>
        </a:graphicData>
      </a:graphic>
    </xdr:graphicFrame>
    <xdr:clientData/>
  </xdr:twoCellAnchor>
  <xdr:twoCellAnchor>
    <xdr:from>
      <xdr:col>3</xdr:col>
      <xdr:colOff>0</xdr:colOff>
      <xdr:row>48</xdr:row>
      <xdr:rowOff>0</xdr:rowOff>
    </xdr:from>
    <xdr:to>
      <xdr:col>10</xdr:col>
      <xdr:colOff>0</xdr:colOff>
      <xdr:row>61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3bf0d3666445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melineConfigTable" displayName="TimelineConfigTable" ref="A1:E21" headerRowCount="1" totalsRowShown="0">
  <x:tableColumns count="5">
    <x:tableColumn id="1" name="参数ID"/>
    <x:tableColumn id="2" name="数值"/>
    <x:tableColumn id="3" name="说明"/>
    <x:tableColumn id="4" name="对游戏的影响"/>
    <x:tableColumn id="5" name="修改建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TimelineEventsTable" displayName="TimelineEventsTable" ref="A1:E14" headerRowCount="1" totalsRowCount="0" totalsRowShown="0">
  <x:tableColumns count="5">
    <x:tableColumn id="1" name="路程进度"/>
    <x:tableColumn id="2" name="事件ID"/>
    <x:tableColumn id="3" name="类型"/>
    <x:tableColumn id="4" name="说明"/>
    <x:tableColumn id="5" name="前进倍率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melineNotesTable" displayName="TimelineNotesTable" ref="A1:B10" headerRowCount="1" totalsRowShown="0">
  <x:tableColumns count="2">
    <x:tableColumn id="1" name="项目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fe7571268247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91eb49e64d43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176126f21849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acd607852742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19" style="46" hidden="0" customWidth="1"/>
    <x:col min="2" max="2" width="15" style="46" hidden="0" customWidth="1"/>
    <x:col min="3" max="3" width="3" style="46" hidden="0" customWidth="1"/>
    <x:col min="4" max="4" width="25" style="46" hidden="0" customWidth="1"/>
    <x:col min="5" max="8" width="14" style="46" customWidth="1"/>
    <x:col min="9" max="9" width="10" style="46" hidden="0" customWidth="1"/>
    <x:col min="10" max="10" width="10" style="46" hidden="0" customWidth="1"/>
    <x:col min="11" max="17" width="13" style="46" customWidth="1"/>
    <x:col min="5" max="5" width="15" hidden="0" customWidth="1"/>
    <x:col min="6" max="6" width="10" hidden="0" customWidth="1"/>
    <x:col min="7" max="7" width="10" hidden="0" customWidth="1"/>
    <x:col min="8" max="8" width="10" hidden="0" customWidth="1"/>
    <x:col min="11" max="11" width="3" hidden="0" customWidth="1"/>
    <x:col min="12" max="12" width="13" hidden="0" customWidth="1"/>
    <x:col min="13" max="13" width="16" hidden="0" customWidth="1"/>
    <x:col min="14" max="14" width="14" hidden="0" customWidth="1"/>
    <x:col min="15" max="15" width="34" hidden="0" customWidth="1"/>
    <x:col min="16" max="16" width="12" hidden="0" customWidth="1"/>
    <x:col min="17" max="17" width="3" hidden="0" customWidth="1"/>
  </x:cols>
  <x:sheetData>
    <x:row r="1" s="46" customFormat="1" ht="34" customHeight="1">
      <x:c r="A1" s="112" t="str">
        <x:v>小厨西 · 时间轴策划预览</x:v>
      </x:c>
      <x:c r="B1" s="112"/>
      <x:c r="C1" s="112"/>
      <x:c r="D1" s="112"/>
      <x:c r="E1" s="112"/>
      <x:c r="F1" s="112"/>
      <x:c r="G1" s="112"/>
      <x:c r="H1" s="112"/>
      <x:c r="I1" s="112"/>
      <x:c r="J1" s="112"/>
      <x:c r="K1" s="112"/>
      <x:c r="L1" s="112"/>
      <x:c r="M1" s="112"/>
      <x:c r="N1" s="112"/>
      <x:c r="O1" s="112"/>
      <x:c r="P1" s="112"/>
      <x:c r="Q1" s="112"/>
    </x:row>
    <x:row r="2" s="46" customFormat="1" ht="30" customHeight="1">
      <x:c r="A2" s="116" t="str">
        <x:v>胃口按有效游戏时间分三段；事件按路程进度触发，不换算成时间。目标时长只用于Boss胃口与整体节奏校准。</x:v>
      </x:c>
      <x:c r="B2" s="116"/>
      <x:c r="C2" s="116"/>
      <x:c r="D2" s="116"/>
      <x:c r="E2" s="116"/>
      <x:c r="F2" s="116"/>
      <x:c r="G2" s="116"/>
      <x:c r="H2" s="116"/>
      <x:c r="I2" s="116"/>
      <x:c r="J2" s="116"/>
      <x:c r="K2" s="116"/>
      <x:c r="L2" s="116"/>
      <x:c r="M2" s="116"/>
      <x:c r="N2" s="116"/>
      <x:c r="O2" s="116"/>
      <x:c r="P2" s="116"/>
      <x:c r="Q2" s="116"/>
    </x:row>
    <x:row r="3" s="46" customFormat="1" ht="24" customHeight="1">
      <x:c r="A3" s="108"/>
      <x:c r="B3" s="108"/>
      <x:c r="C3" s="108"/>
      <x:c r="D3" s="108"/>
      <x:c r="E3" s="108"/>
      <x:c r="F3" s="108"/>
      <x:c r="G3" s="108"/>
      <x:c r="H3" s="108"/>
      <x:c r="I3" s="108"/>
      <x:c r="J3" s="108"/>
      <x:c r="K3" s="108"/>
      <x:c r="L3" s="108"/>
      <x:c r="M3" s="108"/>
      <x:c r="N3" s="108"/>
      <x:c r="O3" s="108"/>
      <x:c r="P3" s="108"/>
      <x:c r="Q3" s="108"/>
    </x:row>
    <x:row r="4">
      <x:c r="A4" s="121" t="str">
        <x:v>运行参数概览</x:v>
      </x:c>
      <x:c r="B4" s="122"/>
      <x:c r="C4" s="122"/>
      <x:c r="D4" s="122"/>
      <x:c r="E4" s="123"/>
      <x:c r="F4" s="108"/>
      <x:c r="G4" s="108"/>
      <x:c r="H4" s="108"/>
      <x:c r="I4" s="108"/>
      <x:c r="J4" s="108"/>
      <x:c r="K4" s="108"/>
      <x:c r="L4" s="121" t="str">
        <x:v>显式事件 · 路程进度</x:v>
      </x:c>
      <x:c r="M4" s="122"/>
      <x:c r="N4" s="122"/>
      <x:c r="O4" s="122"/>
      <x:c r="P4" s="123"/>
      <x:c r="Q4" s="117"/>
    </x:row>
    <x:row r="5" s="46" customFormat="1" ht="30" customHeight="1">
      <x:c r="A5" s="124" t="str">
        <x:v>胃口参数</x:v>
      </x:c>
      <x:c r="B5" s="125" t="str">
        <x:v>当前值</x:v>
      </x:c>
      <x:c r="C5" s="125"/>
      <x:c r="D5" s="125" t="str">
        <x:v>流程参数</x:v>
      </x:c>
      <x:c r="E5" s="126" t="str">
        <x:v>当前值</x:v>
      </x:c>
      <x:c r="F5" s="108"/>
      <x:c r="G5" s="108"/>
      <x:c r="H5" s="108"/>
      <x:c r="I5" s="108"/>
      <x:c r="J5" s="108"/>
      <x:c r="K5" s="108"/>
      <x:c r="L5" s="144" t="str">
        <x:v>路程进度</x:v>
      </x:c>
      <x:c r="M5" s="145" t="str">
        <x:v>事件ID</x:v>
      </x:c>
      <x:c r="N5" s="145" t="str">
        <x:v>类型</x:v>
      </x:c>
      <x:c r="O5" s="145" t="str">
        <x:v>说明</x:v>
      </x:c>
      <x:c r="P5" s="146" t="str">
        <x:v>前进倍率</x:v>
      </x:c>
      <x:c r="Q5" s="108"/>
    </x:row>
    <x:row r="6" s="46" customFormat="1" ht="30" customHeight="1">
      <x:c r="A6" s="127" t="str">
        <x:v>起始胃口</x:v>
      </x:c>
      <x:c r="B6" s="137" t="n">
        <x:f>'配置'!B4</x:f>
        <x:v>15</x:v>
      </x:c>
      <x:c r="C6" s="129"/>
      <x:c r="D6" s="130" t="str">
        <x:v>正式总路程(m)</x:v>
      </x:c>
      <x:c r="E6" s="139" t="n">
        <x:f>'配置'!B14</x:f>
        <x:v>1310.763</x:v>
      </x:c>
      <x:c r="F6" s="108"/>
      <x:c r="G6" s="108"/>
      <x:c r="H6" s="108"/>
      <x:c r="I6" s="108"/>
      <x:c r="J6" s="108"/>
      <x:c r="K6" s="108"/>
      <x:c r="L6" s="147" t="n">
        <x:f>'事件'!A2</x:f>
        <x:v>0.005</x:v>
      </x:c>
      <x:c r="M6" s="148" t="str">
        <x:f>IF('事件'!B2="","",'事件'!B2)</x:f>
        <x:v>start_gate</x:v>
      </x:c>
      <x:c r="N6" s="130" t="str">
        <x:f>'事件'!C2</x:f>
        <x:v>开局食材门</x:v>
      </x:c>
      <x:c r="O6" s="154" t="str">
        <x:f>'事件'!D2</x:f>
        <x:v>总路程0.5%处提供开局食材选择</x:v>
      </x:c>
      <x:c r="P6" s="149" t="str">
        <x:f>IF('事件'!E2="","",'事件'!E2)</x:f>
      </x:c>
      <x:c r="Q6" s="108"/>
    </x:row>
    <x:row r="7" s="46" customFormat="1" ht="15" customHeight="1">
      <x:c r="A7" s="127" t="str">
        <x:v>第一段结束(s)</x:v>
      </x:c>
      <x:c r="B7" s="137" t="n">
        <x:f>'配置'!B5</x:f>
        <x:v>135</x:v>
      </x:c>
      <x:c r="C7" s="129"/>
      <x:c r="D7" s="130" t="str">
        <x:v>普通强化门数</x:v>
      </x:c>
      <x:c r="E7" s="139" t="n">
        <x:f>'配置'!B17</x:f>
        <x:v>50</x:v>
      </x:c>
      <x:c r="F7" s="108"/>
      <x:c r="G7" s="108"/>
      <x:c r="H7" s="108"/>
      <x:c r="I7" s="108"/>
      <x:c r="J7" s="108"/>
      <x:c r="K7" s="108"/>
      <x:c r="L7" s="147" t="n">
        <x:f>'事件'!A3</x:f>
        <x:v>0.125</x:v>
      </x:c>
      <x:c r="M7" s="148" t="str">
        <x:f>IF('事件'!B3="","",'事件'!B3)</x:f>
        <x:v>elite</x:v>
      </x:c>
      <x:c r="N7" s="130" t="str">
        <x:f>'事件'!C3</x:f>
        <x:v>精英</x:v>
      </x:c>
      <x:c r="O7" s="154" t="str">
        <x:f>'事件'!D3</x:f>
        <x:v>第一只精英</x:v>
      </x:c>
      <x:c r="P7" s="149" t="str">
        <x:f>IF('事件'!E3="","",'事件'!E3)</x:f>
      </x:c>
      <x:c r="Q7" s="108"/>
    </x:row>
    <x:row r="8" s="46" customFormat="1" ht="15" customHeight="1">
      <x:c r="A8" s="127" t="str">
        <x:v>第一段最大胃口</x:v>
      </x:c>
      <x:c r="B8" s="137" t="n">
        <x:f>'配置'!B6</x:f>
        <x:v>350</x:v>
      </x:c>
      <x:c r="C8" s="129"/>
      <x:c r="D8" s="130" t="str">
        <x:v>普通波次数</x:v>
      </x:c>
      <x:c r="E8" s="139" t="n">
        <x:f>'配置'!B18</x:f>
        <x:v>235</x:v>
      </x:c>
      <x:c r="F8" s="108"/>
      <x:c r="G8" s="108"/>
      <x:c r="H8" s="108"/>
      <x:c r="I8" s="108"/>
      <x:c r="J8" s="108"/>
      <x:c r="K8" s="108"/>
      <x:c r="L8" s="147" t="n">
        <x:f>'事件'!A4</x:f>
        <x:v>0.1875</x:v>
      </x:c>
      <x:c r="M8" s="148" t="str">
        <x:f>IF('事件'!B4="","",'事件'!B4)</x:f>
      </x:c>
      <x:c r="N8" s="130" t="str">
        <x:f>'事件'!C4</x:f>
        <x:v>压力</x:v>
      </x:c>
      <x:c r="O8" s="154" t="str">
        <x:f>'事件'!D4</x:f>
        <x:v>前进倍率提升至1.1</x:v>
      </x:c>
      <x:c r="P8" s="149" t="n">
        <x:f>IF('事件'!E4="","",'事件'!E4)</x:f>
        <x:v>1.1</x:v>
      </x:c>
      <x:c r="Q8" s="108"/>
    </x:row>
    <x:row r="9" s="46" customFormat="1" ht="15" customHeight="1">
      <x:c r="A9" s="127" t="str">
        <x:v>第一段指数</x:v>
      </x:c>
      <x:c r="B9" s="137" t="n">
        <x:f>'配置'!B7</x:f>
        <x:v>2.1</x:v>
      </x:c>
      <x:c r="C9" s="129"/>
      <x:c r="D9" s="130" t="str">
        <x:v>目标有效时长(s) · 参考</x:v>
      </x:c>
      <x:c r="E9" s="139" t="n">
        <x:f>'配置'!B15</x:f>
        <x:v>480</x:v>
      </x:c>
      <x:c r="F9" s="108"/>
      <x:c r="G9" s="108"/>
      <x:c r="H9" s="108"/>
      <x:c r="I9" s="108"/>
      <x:c r="J9" s="108"/>
      <x:c r="K9" s="108"/>
      <x:c r="L9" s="147" t="n">
        <x:f>'事件'!A5</x:f>
        <x:v>0.25</x:v>
      </x:c>
      <x:c r="M9" s="148" t="str">
        <x:f>IF('事件'!B5="","",'事件'!B5)</x:f>
        <x:v>elite</x:v>
      </x:c>
      <x:c r="N9" s="130" t="str">
        <x:f>'事件'!C5</x:f>
        <x:v>精英</x:v>
      </x:c>
      <x:c r="O9" s="154" t="str">
        <x:f>'事件'!D5</x:f>
        <x:v>第二只精英</x:v>
      </x:c>
      <x:c r="P9" s="149" t="str">
        <x:f>IF('事件'!E5="","",'事件'!E5)</x:f>
      </x:c>
      <x:c r="Q9" s="108"/>
    </x:row>
    <x:row r="10" s="46" customFormat="1" ht="15" customHeight="1">
      <x:c r="A10" s="127" t="str">
        <x:v>第二段结束(s)</x:v>
      </x:c>
      <x:c r="B10" s="137" t="n">
        <x:f>'配置'!B8</x:f>
        <x:v>300</x:v>
      </x:c>
      <x:c r="C10" s="129"/>
      <x:c r="D10" s="130" t="str">
        <x:v>单场Boss目标(s) · 参考</x:v>
      </x:c>
      <x:c r="E10" s="139" t="n">
        <x:f>'配置'!B16</x:f>
        <x:v>25</x:v>
      </x:c>
      <x:c r="F10" s="108"/>
      <x:c r="G10" s="108"/>
      <x:c r="H10" s="108"/>
      <x:c r="I10" s="108"/>
      <x:c r="J10" s="108"/>
      <x:c r="K10" s="108"/>
      <x:c r="L10" s="147" t="n">
        <x:f>'事件'!A6</x:f>
        <x:v>0.3125</x:v>
      </x:c>
      <x:c r="M10" s="148" t="str">
        <x:f>IF('事件'!B6="","",'事件'!B6)</x:f>
      </x:c>
      <x:c r="N10" s="130" t="str">
        <x:f>'事件'!C6</x:f>
        <x:v>压力</x:v>
      </x:c>
      <x:c r="O10" s="154" t="str">
        <x:f>'事件'!D6</x:f>
        <x:v>前进倍率提升至1.3</x:v>
      </x:c>
      <x:c r="P10" s="149" t="n">
        <x:f>IF('事件'!E6="","",'事件'!E6)</x:f>
        <x:v>1.3</x:v>
      </x:c>
      <x:c r="Q10" s="108"/>
    </x:row>
    <x:row r="11" s="46" customFormat="1" ht="15" customHeight="1">
      <x:c r="A11" s="127" t="str">
        <x:v>第二段最大胃口</x:v>
      </x:c>
      <x:c r="B11" s="137" t="n">
        <x:f>'配置'!B9</x:f>
        <x:v>2825</x:v>
      </x:c>
      <x:c r="C11" s="129"/>
      <x:c r="D11" s="130" t="str">
        <x:v>显式事件数</x:v>
      </x:c>
      <x:c r="E11" s="139" t="n">
        <x:f>COUNTA('事件'!B2:B14)</x:f>
        <x:v>9</x:v>
      </x:c>
      <x:c r="F11" s="108"/>
      <x:c r="G11" s="108"/>
      <x:c r="H11" s="108"/>
      <x:c r="I11" s="108"/>
      <x:c r="J11" s="108"/>
      <x:c r="K11" s="108"/>
      <x:c r="L11" s="147" t="n">
        <x:f>'事件'!A7</x:f>
        <x:v>0.375</x:v>
      </x:c>
      <x:c r="M11" s="148" t="str">
        <x:f>IF('事件'!B7="","",'事件'!B7)</x:f>
        <x:v>elite</x:v>
      </x:c>
      <x:c r="N11" s="130" t="str">
        <x:f>'事件'!C7</x:f>
        <x:v>精英</x:v>
      </x:c>
      <x:c r="O11" s="154" t="str">
        <x:f>'事件'!D7</x:f>
        <x:v>第三只精英</x:v>
      </x:c>
      <x:c r="P11" s="149" t="str">
        <x:f>IF('事件'!E7="","",'事件'!E7)</x:f>
      </x:c>
      <x:c r="Q11" s="108"/>
    </x:row>
    <x:row r="12" s="46" customFormat="1" ht="15" customHeight="1">
      <x:c r="A12" s="127" t="str">
        <x:v>第二段指数</x:v>
      </x:c>
      <x:c r="B12" s="137" t="n">
        <x:f>'配置'!B10</x:f>
        <x:v>2.1</x:v>
      </x:c>
      <x:c r="C12" s="129"/>
      <x:c r="D12" s="130" t="str">
        <x:v>精英事件</x:v>
      </x:c>
      <x:c r="E12" s="139" t="n">
        <x:f>COUNTIF('事件'!C2:C14,"精英")</x:f>
        <x:v>6</x:v>
      </x:c>
      <x:c r="F12" s="108"/>
      <x:c r="G12" s="108"/>
      <x:c r="H12" s="108"/>
      <x:c r="I12" s="108"/>
      <x:c r="J12" s="108"/>
      <x:c r="K12" s="108"/>
      <x:c r="L12" s="147" t="n">
        <x:f>'事件'!A8</x:f>
        <x:v>0.5</x:v>
      </x:c>
      <x:c r="M12" s="148" t="str">
        <x:f>IF('事件'!B8="","",'事件'!B8)</x:f>
        <x:v>boss</x:v>
      </x:c>
      <x:c r="N12" s="130" t="str">
        <x:f>'事件'!C8</x:f>
        <x:v>Boss/压力</x:v>
      </x:c>
      <x:c r="O12" s="154" t="str">
        <x:f>'事件'!D8</x:f>
        <x:v>中途Boss；胜利后进入1.7倍前进</x:v>
      </x:c>
      <x:c r="P12" s="149" t="n">
        <x:f>IF('事件'!E8="","",'事件'!E8)</x:f>
        <x:v>1.7</x:v>
      </x:c>
      <x:c r="Q12" s="108"/>
    </x:row>
    <x:row r="13" s="46" customFormat="1" ht="15" customHeight="1">
      <x:c r="A13" s="127" t="str">
        <x:v>第三段结束(s)</x:v>
      </x:c>
      <x:c r="B13" s="137" t="n">
        <x:f>'配置'!B11</x:f>
        <x:v>480</x:v>
      </x:c>
      <x:c r="C13" s="129"/>
      <x:c r="D13" s="130" t="str">
        <x:v>Boss事件</x:v>
      </x:c>
      <x:c r="E13" s="139" t="n">
        <x:f>COUNTIF('事件'!C2:C14,"Boss")+COUNTIF('事件'!C2:C14,"Boss/压力")</x:f>
        <x:v>2</x:v>
      </x:c>
      <x:c r="F13" s="108"/>
      <x:c r="G13" s="108"/>
      <x:c r="H13" s="108"/>
      <x:c r="I13" s="108"/>
      <x:c r="J13" s="108"/>
      <x:c r="K13" s="108"/>
      <x:c r="L13" s="147" t="n">
        <x:f>'事件'!A9</x:f>
        <x:v>0.625</x:v>
      </x:c>
      <x:c r="M13" s="148" t="str">
        <x:f>IF('事件'!B9="","",'事件'!B9)</x:f>
        <x:v>elite</x:v>
      </x:c>
      <x:c r="N13" s="130" t="str">
        <x:f>'事件'!C9</x:f>
        <x:v>精英</x:v>
      </x:c>
      <x:c r="O13" s="154" t="str">
        <x:f>'事件'!D9</x:f>
        <x:v>第四只精英</x:v>
      </x:c>
      <x:c r="P13" s="149" t="str">
        <x:f>IF('事件'!E9="","",'事件'!E9)</x:f>
      </x:c>
      <x:c r="Q13" s="108"/>
    </x:row>
    <x:row r="14" s="46" customFormat="1" ht="15" customHeight="1">
      <x:c r="A14" s="127" t="str">
        <x:v>第三段最大胃口</x:v>
      </x:c>
      <x:c r="B14" s="137" t="n">
        <x:f>'配置'!B12</x:f>
        <x:v>12000</x:v>
      </x:c>
      <x:c r="C14" s="129"/>
      <x:c r="D14" s="129"/>
      <x:c r="E14" s="132"/>
      <x:c r="F14" s="108"/>
      <x:c r="G14" s="108"/>
      <x:c r="H14" s="108"/>
      <x:c r="I14" s="108"/>
      <x:c r="J14" s="108"/>
      <x:c r="K14" s="108"/>
      <x:c r="L14" s="147" t="n">
        <x:f>'事件'!A10</x:f>
        <x:v>0.6875</x:v>
      </x:c>
      <x:c r="M14" s="148" t="str">
        <x:f>IF('事件'!B10="","",'事件'!B10)</x:f>
      </x:c>
      <x:c r="N14" s="130" t="str">
        <x:f>'事件'!C10</x:f>
        <x:v>压力</x:v>
      </x:c>
      <x:c r="O14" s="154" t="str">
        <x:f>'事件'!D10</x:f>
        <x:v>前进倍率提升至2.3</x:v>
      </x:c>
      <x:c r="P14" s="149" t="n">
        <x:f>IF('事件'!E10="","",'事件'!E10)</x:f>
        <x:v>2.3</x:v>
      </x:c>
      <x:c r="Q14" s="108"/>
    </x:row>
    <x:row r="15" s="46" customFormat="1" ht="15" customHeight="1">
      <x:c r="A15" s="133" t="str">
        <x:v>第三段指数</x:v>
      </x:c>
      <x:c r="B15" s="138" t="n">
        <x:f>'配置'!B13</x:f>
        <x:v>2.1</x:v>
      </x:c>
      <x:c r="C15" s="135"/>
      <x:c r="D15" s="135"/>
      <x:c r="E15" s="136"/>
      <x:c r="F15" s="108"/>
      <x:c r="G15" s="108"/>
      <x:c r="H15" s="108"/>
      <x:c r="I15" s="108"/>
      <x:c r="J15" s="108"/>
      <x:c r="K15" s="108"/>
      <x:c r="L15" s="147" t="n">
        <x:f>'事件'!A11</x:f>
        <x:v>0.75</x:v>
      </x:c>
      <x:c r="M15" s="148" t="str">
        <x:f>IF('事件'!B11="","",'事件'!B11)</x:f>
        <x:v>elite</x:v>
      </x:c>
      <x:c r="N15" s="130" t="str">
        <x:f>'事件'!C11</x:f>
        <x:v>精英</x:v>
      </x:c>
      <x:c r="O15" s="154" t="str">
        <x:f>'事件'!D11</x:f>
        <x:v>第五只精英</x:v>
      </x:c>
      <x:c r="P15" s="149" t="str">
        <x:f>IF('事件'!E11="","",'事件'!E11)</x:f>
      </x:c>
      <x:c r="Q15" s="108"/>
    </x:row>
    <x:row r="16">
      <x:c r="A16" s="108"/>
      <x:c r="B16" s="108"/>
      <x:c r="C16" s="108"/>
      <x:c r="D16" s="108"/>
      <x:c r="E16" s="108"/>
      <x:c r="F16" s="108"/>
      <x:c r="G16" s="108"/>
      <x:c r="H16" s="108"/>
      <x:c r="I16" s="108"/>
      <x:c r="J16" s="108"/>
      <x:c r="K16" s="108"/>
      <x:c r="L16" s="147" t="n">
        <x:f>'事件'!A12</x:f>
        <x:v>0.8125</x:v>
      </x:c>
      <x:c r="M16" s="148" t="str">
        <x:f>IF('事件'!B12="","",'事件'!B12)</x:f>
      </x:c>
      <x:c r="N16" s="130" t="str">
        <x:f>'事件'!C12</x:f>
        <x:v>压力</x:v>
      </x:c>
      <x:c r="O16" s="154" t="str">
        <x:f>'事件'!D12</x:f>
        <x:v>前进倍率提升至3.0</x:v>
      </x:c>
      <x:c r="P16" s="149" t="n">
        <x:f>IF('事件'!E12="","",'事件'!E12)</x:f>
        <x:v>3</x:v>
      </x:c>
      <x:c r="Q16" s="108"/>
    </x:row>
    <x:row r="17">
      <x:c r="A17" s="108"/>
      <x:c r="B17" s="108"/>
      <x:c r="C17" s="108"/>
      <x:c r="D17" s="108"/>
      <x:c r="E17" s="108"/>
      <x:c r="F17" s="108"/>
      <x:c r="G17" s="108"/>
      <x:c r="H17" s="108"/>
      <x:c r="I17" s="108"/>
      <x:c r="J17" s="108"/>
      <x:c r="K17" s="108"/>
      <x:c r="L17" s="147" t="n">
        <x:f>'事件'!A13</x:f>
        <x:v>0.875</x:v>
      </x:c>
      <x:c r="M17" s="148" t="str">
        <x:f>IF('事件'!B13="","",'事件'!B13)</x:f>
        <x:v>elite</x:v>
      </x:c>
      <x:c r="N17" s="130" t="str">
        <x:f>'事件'!C13</x:f>
        <x:v>精英</x:v>
      </x:c>
      <x:c r="O17" s="154" t="str">
        <x:f>'事件'!D13</x:f>
        <x:v>第六只精英</x:v>
      </x:c>
      <x:c r="P17" s="149" t="str">
        <x:f>IF('事件'!E13="","",'事件'!E13)</x:f>
      </x:c>
      <x:c r="Q17" s="108"/>
    </x:row>
    <x:row r="18">
      <x:c r="A18" s="108"/>
      <x:c r="B18" s="108"/>
      <x:c r="C18" s="108"/>
      <x:c r="D18" s="108"/>
      <x:c r="E18" s="108"/>
      <x:c r="F18" s="108"/>
      <x:c r="G18" s="108"/>
      <x:c r="H18" s="108"/>
      <x:c r="I18" s="108"/>
      <x:c r="J18" s="108"/>
      <x:c r="K18" s="108"/>
      <x:c r="L18" s="150" t="n">
        <x:f>'事件'!A14</x:f>
        <x:v>1</x:v>
      </x:c>
      <x:c r="M18" s="151" t="str">
        <x:f>IF('事件'!B14="","",'事件'!B14)</x:f>
        <x:v>boss</x:v>
      </x:c>
      <x:c r="N18" s="152" t="str">
        <x:f>'事件'!C14</x:f>
        <x:v>Boss</x:v>
      </x:c>
      <x:c r="O18" s="155" t="str">
        <x:f>'事件'!D14</x:f>
        <x:v>最终Boss</x:v>
      </x:c>
      <x:c r="P18" s="153" t="str">
        <x:f>IF('事件'!E14="","",'事件'!E14)</x:f>
      </x:c>
      <x:c r="Q18" s="108"/>
    </x:row>
    <x:row r="19">
      <x:c r="A19" s="157" t="str">
        <x:v>有效时间(s)</x:v>
      </x:c>
      <x:c r="B19" s="158" t="str">
        <x:v>基准胃口</x:v>
      </x:c>
      <x:c r="C19" s="108"/>
      <x:c r="D19" s="108"/>
      <x:c r="E19" s="108"/>
      <x:c r="F19" s="108"/>
      <x:c r="G19" s="108"/>
      <x:c r="H19" s="108"/>
      <x:c r="I19" s="108"/>
      <x:c r="J19" s="108"/>
      <x:c r="K19" s="108"/>
      <x:c r="L19" s="108"/>
      <x:c r="M19" s="108"/>
      <x:c r="N19" s="108"/>
      <x:c r="O19" s="108"/>
      <x:c r="P19" s="108"/>
      <x:c r="Q19" s="108"/>
    </x:row>
    <x:row r="20" s="46" customFormat="1" ht="28.049999237060547" customHeight="1">
      <x:c r="A20" s="162" t="n">
        <x:f>0+('配置'!$B$5-0)*0/10</x:f>
        <x:v>0</x:v>
      </x:c>
      <x:c r="B20" s="164" t="n">
        <x:f>ROUND('配置'!$B$4+('配置'!$B$6-'配置'!$B$4)*POWER((A20-0)/('配置'!$B$5-0),'配置'!$B$7),0)</x:f>
        <x:v>15</x:v>
      </x:c>
      <x:c r="C20" s="108"/>
      <x:c r="D20" s="108"/>
      <x:c r="E20" s="108"/>
      <x:c r="F20" s="108"/>
      <x:c r="G20" s="108"/>
      <x:c r="H20" s="108"/>
      <x:c r="I20" s="108"/>
      <x:c r="J20" s="108"/>
      <x:c r="K20" s="108"/>
      <x:c r="L20" s="117" t="str">
        <x:v>调参边界</x:v>
      </x:c>
      <x:c r="M20" s="117"/>
      <x:c r="N20" s="117"/>
      <x:c r="O20" s="117"/>
      <x:c r="P20" s="117"/>
      <x:c r="Q20" s="117"/>
    </x:row>
    <x:row r="21" s="46" customFormat="1" ht="30" customHeight="1">
      <x:c r="A21" s="162" t="n">
        <x:f>0+('配置'!$B$5-0)*1/10</x:f>
        <x:v>13.5</x:v>
      </x:c>
      <x:c r="B21" s="164" t="n">
        <x:f>ROUND('配置'!$B$4+('配置'!$B$6-'配置'!$B$4)*POWER((A21-0)/('配置'!$B$5-0),'配置'!$B$7),0)</x:f>
        <x:v>18</x:v>
      </x:c>
      <x:c r="C21" s="108"/>
      <x:c r="D21" s="108"/>
      <x:c r="E21" s="108"/>
      <x:c r="F21" s="108"/>
      <x:c r="G21" s="108"/>
      <x:c r="H21" s="108"/>
      <x:c r="I21" s="108"/>
      <x:c r="J21" s="108"/>
      <x:c r="K21" s="108"/>
      <x:c r="L21" s="114" t="str">
        <x:v>1. 三段结束时间必须严格递增；每段最大胃口不得低于上一段。</x:v>
      </x:c>
      <x:c r="M21" s="114"/>
      <x:c r="N21" s="114"/>
      <x:c r="O21" s="114"/>
      <x:c r="P21" s="114"/>
      <x:c r="Q21" s="114"/>
    </x:row>
    <x:row r="22" s="46" customFormat="1" ht="30" customHeight="1">
      <x:c r="A22" s="162" t="n">
        <x:f>0+('配置'!$B$5-0)*2/10</x:f>
        <x:v>27</x:v>
      </x:c>
      <x:c r="B22" s="164" t="n">
        <x:f>ROUND('配置'!$B$4+('配置'!$B$6-'配置'!$B$4)*POWER((A22-0)/('配置'!$B$5-0),'配置'!$B$7),0)</x:f>
        <x:v>26</x:v>
      </x:c>
      <x:c r="C22" s="108"/>
      <x:c r="D22" s="108"/>
      <x:c r="E22" s="108"/>
      <x:c r="F22" s="108"/>
      <x:c r="G22" s="108"/>
      <x:c r="H22" s="108"/>
      <x:c r="I22" s="108"/>
      <x:c r="J22" s="108"/>
      <x:c r="K22" s="108"/>
      <x:c r="L22" s="114" t="str">
        <x:v>2. 指数只改变各自段内形状：大于1前缓后陡，小于1前陡后缓。</x:v>
      </x:c>
      <x:c r="M22" s="114"/>
      <x:c r="N22" s="114"/>
      <x:c r="O22" s="114"/>
      <x:c r="P22" s="114"/>
      <x:c r="Q22" s="114"/>
    </x:row>
    <x:row r="23" s="46" customFormat="1" ht="30" customHeight="1">
      <x:c r="A23" s="162" t="n">
        <x:f>0+('配置'!$B$5-0)*3/10</x:f>
        <x:v>40.5</x:v>
      </x:c>
      <x:c r="B23" s="164" t="n">
        <x:f>ROUND('配置'!$B$4+('配置'!$B$6-'配置'!$B$4)*POWER((A23-0)/('配置'!$B$5-0),'配置'!$B$7),0)</x:f>
        <x:v>42</x:v>
      </x:c>
      <x:c r="C23" s="108"/>
      <x:c r="D23" s="108"/>
      <x:c r="E23" s="108"/>
      <x:c r="F23" s="108"/>
      <x:c r="G23" s="108"/>
      <x:c r="H23" s="108"/>
      <x:c r="I23" s="108"/>
      <x:c r="J23" s="108"/>
      <x:c r="K23" s="108"/>
      <x:c r="L23" s="114" t="str">
        <x:v>3. 目标有效时长和Boss目标时长是策划参考，不改变路程或自动结束Boss。</x:v>
      </x:c>
      <x:c r="M23" s="114"/>
      <x:c r="N23" s="114"/>
      <x:c r="O23" s="114"/>
      <x:c r="P23" s="114"/>
      <x:c r="Q23" s="114"/>
    </x:row>
    <x:row r="24" s="46" customFormat="1" ht="30" customHeight="1">
      <x:c r="A24" s="162" t="n">
        <x:f>0+('配置'!$B$5-0)*4/10</x:f>
        <x:v>54</x:v>
      </x:c>
      <x:c r="B24" s="164" t="n">
        <x:f>ROUND('配置'!$B$4+('配置'!$B$6-'配置'!$B$4)*POWER((A24-0)/('配置'!$B$5-0),'配置'!$B$7),0)</x:f>
        <x:v>64</x:v>
      </x:c>
      <x:c r="C24" s="108"/>
      <x:c r="D24" s="108"/>
      <x:c r="E24" s="108"/>
      <x:c r="F24" s="108"/>
      <x:c r="G24" s="108"/>
      <x:c r="H24" s="108"/>
      <x:c r="I24" s="108"/>
      <x:c r="J24" s="108"/>
      <x:c r="K24" s="108"/>
      <x:c r="L24" s="114" t="str">
        <x:v>4. 事件页第一列是路程进度0～1，不能按秒填写。</x:v>
      </x:c>
      <x:c r="M24" s="114"/>
      <x:c r="N24" s="114"/>
      <x:c r="O24" s="114"/>
      <x:c r="P24" s="114"/>
      <x:c r="Q24" s="114"/>
    </x:row>
    <x:row r="25" s="46" customFormat="1" ht="30" customHeight="1">
      <x:c r="A25" s="162" t="n">
        <x:f>0+('配置'!$B$5-0)*5/10</x:f>
        <x:v>67.5</x:v>
      </x:c>
      <x:c r="B25" s="164" t="n">
        <x:f>ROUND('配置'!$B$4+('配置'!$B$6-'配置'!$B$4)*POWER((A25-0)/('配置'!$B$5-0),'配置'!$B$7),0)</x:f>
        <x:v>93</x:v>
      </x:c>
      <x:c r="C25" s="108"/>
      <x:c r="D25" s="108"/>
      <x:c r="E25" s="108"/>
      <x:c r="F25" s="108"/>
      <x:c r="G25" s="108"/>
      <x:c r="H25" s="108"/>
      <x:c r="I25" s="108"/>
      <x:c r="J25" s="108"/>
      <x:c r="K25" s="108"/>
      <x:c r="L25" s="114" t="str">
        <x:v>5. 保存关闭后重新开始本局，看到BALANCE_TIMELINE_LOADED才表示读取成功。</x:v>
      </x:c>
      <x:c r="M25" s="114"/>
      <x:c r="N25" s="114"/>
      <x:c r="O25" s="114"/>
      <x:c r="P25" s="114"/>
      <x:c r="Q25" s="114"/>
    </x:row>
    <x:row r="26" s="46" customFormat="1" ht="34.04999923706055" customHeight="1">
      <x:c r="A26" s="162" t="n">
        <x:f>0+('配置'!$B$5-0)*6/10</x:f>
        <x:v>81</x:v>
      </x:c>
      <x:c r="B26" s="164" t="n">
        <x:f>ROUND('配置'!$B$4+('配置'!$B$6-'配置'!$B$4)*POWER((A26-0)/('配置'!$B$5-0),'配置'!$B$7),0)</x:f>
        <x:v>130</x:v>
      </x:c>
      <x:c r="C26" s="108"/>
      <x:c r="D26" s="108"/>
      <x:c r="E26" s="108"/>
      <x:c r="F26" s="108"/>
      <x:c r="G26" s="108"/>
      <x:c r="H26" s="108"/>
      <x:c r="I26" s="108"/>
      <x:c r="J26" s="108"/>
      <x:c r="K26" s="108"/>
      <x:c r="L26" s="108"/>
      <x:c r="M26" s="108"/>
      <x:c r="N26" s="108"/>
      <x:c r="O26" s="108"/>
      <x:c r="P26" s="108"/>
      <x:c r="Q26" s="108"/>
    </x:row>
    <x:row r="27" s="46" customFormat="1" ht="34.04999923706055" customHeight="1">
      <x:c r="A27" s="162" t="n">
        <x:f>0+('配置'!$B$5-0)*7/10</x:f>
        <x:v>94.5</x:v>
      </x:c>
      <x:c r="B27" s="164" t="n">
        <x:f>ROUND('配置'!$B$4+('配置'!$B$6-'配置'!$B$4)*POWER((A27-0)/('配置'!$B$5-0),'配置'!$B$7),0)</x:f>
        <x:v>173</x:v>
      </x:c>
      <x:c r="C27" s="108"/>
      <x:c r="D27" s="108"/>
      <x:c r="E27" s="108"/>
      <x:c r="F27" s="108"/>
      <x:c r="G27" s="108"/>
      <x:c r="H27" s="108"/>
      <x:c r="I27" s="108"/>
      <x:c r="J27" s="108"/>
      <x:c r="K27" s="108"/>
      <x:c r="L27" s="108"/>
      <x:c r="M27" s="108"/>
      <x:c r="N27" s="108"/>
      <x:c r="O27" s="108"/>
      <x:c r="P27" s="108"/>
      <x:c r="Q27" s="108"/>
    </x:row>
    <x:row r="28" s="46" customFormat="1" ht="15" customHeight="1">
      <x:c r="A28" s="162" t="n">
        <x:f>0+('配置'!$B$5-0)*8/10</x:f>
        <x:v>108</x:v>
      </x:c>
      <x:c r="B28" s="164" t="n">
        <x:f>ROUND('配置'!$B$4+('配置'!$B$6-'配置'!$B$4)*POWER((A28-0)/('配置'!$B$5-0),'配置'!$B$7),0)</x:f>
        <x:v>225</x:v>
      </x:c>
      <x:c r="C28" s="108"/>
      <x:c r="D28" s="108"/>
      <x:c r="E28" s="108"/>
      <x:c r="F28" s="108"/>
      <x:c r="G28" s="108"/>
      <x:c r="H28" s="108"/>
      <x:c r="I28" s="108"/>
      <x:c r="J28" s="108"/>
      <x:c r="K28" s="108"/>
      <x:c r="L28" s="108"/>
      <x:c r="M28" s="108"/>
      <x:c r="N28" s="108"/>
      <x:c r="O28" s="108"/>
      <x:c r="P28" s="108"/>
      <x:c r="Q28" s="108"/>
    </x:row>
    <x:row r="29" s="46" customFormat="1" ht="15" customHeight="1">
      <x:c r="A29" s="162" t="n">
        <x:f>0+('配置'!$B$5-0)*9/10</x:f>
        <x:v>121.5</x:v>
      </x:c>
      <x:c r="B29" s="164" t="n">
        <x:f>ROUND('配置'!$B$4+('配置'!$B$6-'配置'!$B$4)*POWER((A29-0)/('配置'!$B$5-0),'配置'!$B$7),0)</x:f>
        <x:v>284</x:v>
      </x:c>
      <x:c r="C29" s="108"/>
      <x:c r="D29" s="108"/>
      <x:c r="E29" s="108"/>
      <x:c r="F29" s="108"/>
      <x:c r="G29" s="108"/>
      <x:c r="H29" s="108"/>
      <x:c r="I29" s="108"/>
      <x:c r="J29" s="108"/>
      <x:c r="K29" s="108"/>
      <x:c r="L29" s="108"/>
      <x:c r="M29" s="108"/>
      <x:c r="N29" s="108"/>
      <x:c r="O29" s="108"/>
      <x:c r="P29" s="108"/>
      <x:c r="Q29" s="108"/>
    </x:row>
    <x:row r="30" s="46" customFormat="1" ht="15" customHeight="1">
      <x:c r="A30" s="163" t="n">
        <x:f>0+('配置'!$B$5-0)*10/10</x:f>
        <x:v>135</x:v>
      </x:c>
      <x:c r="B30" s="165" t="n">
        <x:f>ROUND('配置'!$B$4+('配置'!$B$6-'配置'!$B$4)*POWER((A30-0)/('配置'!$B$5-0),'配置'!$B$7),0)</x:f>
        <x:v>350</x:v>
      </x:c>
      <x:c r="C30" s="108"/>
      <x:c r="D30" s="108"/>
      <x:c r="E30" s="108"/>
      <x:c r="F30" s="108"/>
      <x:c r="G30" s="108"/>
      <x:c r="H30" s="108"/>
      <x:c r="I30" s="108"/>
      <x:c r="J30" s="108"/>
      <x:c r="K30" s="108"/>
      <x:c r="L30" s="108"/>
      <x:c r="M30" s="108"/>
      <x:c r="N30" s="108"/>
      <x:c r="O30" s="108"/>
      <x:c r="P30" s="108"/>
      <x:c r="Q30" s="108"/>
    </x:row>
    <x:row r="31" s="46" customFormat="1" ht="15" customHeight="1">
      <x:c r="A31" s="108"/>
      <x:c r="B31" s="108"/>
      <x:c r="C31" s="108"/>
      <x:c r="D31" s="108"/>
      <x:c r="E31" s="108"/>
      <x:c r="F31" s="108"/>
      <x:c r="G31" s="108"/>
      <x:c r="H31" s="108"/>
      <x:c r="I31" s="108"/>
      <x:c r="J31" s="108"/>
      <x:c r="K31" s="108"/>
      <x:c r="L31" s="108"/>
      <x:c r="M31" s="108"/>
      <x:c r="N31" s="108"/>
      <x:c r="O31" s="108"/>
      <x:c r="P31" s="108"/>
      <x:c r="Q31" s="108"/>
    </x:row>
    <x:row r="32" s="46" customFormat="1" ht="15" customHeight="1">
      <x:c r="A32" s="108"/>
      <x:c r="B32" s="108"/>
      <x:c r="C32" s="108"/>
      <x:c r="D32" s="108"/>
      <x:c r="E32" s="108"/>
      <x:c r="F32" s="108"/>
      <x:c r="G32" s="108"/>
      <x:c r="H32" s="108"/>
      <x:c r="I32" s="108"/>
      <x:c r="J32" s="108"/>
      <x:c r="K32" s="108"/>
      <x:c r="L32" s="108"/>
      <x:c r="M32" s="108"/>
      <x:c r="N32" s="108"/>
      <x:c r="O32" s="108"/>
      <x:c r="P32" s="108"/>
      <x:c r="Q32" s="108"/>
    </x:row>
    <x:row r="33" s="46" customFormat="1" ht="15" customHeight="1">
      <x:c r="A33" s="108"/>
      <x:c r="B33" s="108"/>
      <x:c r="C33" s="108"/>
      <x:c r="D33" s="108"/>
      <x:c r="E33" s="108"/>
      <x:c r="F33" s="108"/>
      <x:c r="G33" s="108"/>
      <x:c r="H33" s="108"/>
      <x:c r="I33" s="108"/>
      <x:c r="J33" s="108"/>
      <x:c r="K33" s="108"/>
      <x:c r="L33" s="108"/>
      <x:c r="M33" s="108"/>
      <x:c r="N33" s="108"/>
      <x:c r="O33" s="108"/>
      <x:c r="P33" s="108"/>
      <x:c r="Q33" s="108"/>
    </x:row>
    <x:row r="34" s="46" customFormat="1" ht="15" customHeight="1">
      <x:c r="A34" s="157" t="str">
        <x:v>有效时间(s)</x:v>
      </x:c>
      <x:c r="B34" s="158" t="str">
        <x:v>基准胃口</x:v>
      </x:c>
      <x:c r="C34" s="108"/>
      <x:c r="D34" s="108"/>
      <x:c r="E34" s="108"/>
      <x:c r="F34" s="108"/>
      <x:c r="G34" s="108"/>
      <x:c r="H34" s="108"/>
      <x:c r="I34" s="108"/>
      <x:c r="J34" s="108"/>
      <x:c r="K34" s="108"/>
      <x:c r="L34" s="108"/>
      <x:c r="M34" s="108"/>
      <x:c r="N34" s="108"/>
      <x:c r="O34" s="108"/>
      <x:c r="P34" s="108"/>
      <x:c r="Q34" s="108"/>
    </x:row>
    <x:row r="35" s="46" customFormat="1" ht="15" customHeight="1">
      <x:c r="A35" s="162" t="n">
        <x:f>'配置'!$B$5+('配置'!$B$8-'配置'!$B$5)*0/10</x:f>
        <x:v>135</x:v>
      </x:c>
      <x:c r="B35" s="164" t="n">
        <x:f>ROUND('配置'!$B$6+('配置'!$B$9-'配置'!$B$6)*POWER((A35-'配置'!$B$5)/('配置'!$B$8-'配置'!$B$5),'配置'!$B$10),0)</x:f>
        <x:v>350</x:v>
      </x:c>
      <x:c r="C35" s="108"/>
      <x:c r="D35" s="108"/>
      <x:c r="E35" s="108"/>
      <x:c r="F35" s="108"/>
      <x:c r="G35" s="108"/>
      <x:c r="H35" s="108"/>
      <x:c r="I35" s="108"/>
      <x:c r="J35" s="108"/>
      <x:c r="K35" s="108"/>
      <x:c r="L35" s="108"/>
      <x:c r="M35" s="108"/>
      <x:c r="N35" s="108"/>
      <x:c r="O35" s="108"/>
      <x:c r="P35" s="108"/>
      <x:c r="Q35" s="108"/>
    </x:row>
    <x:row r="36" s="46" customFormat="1" ht="15" customHeight="1">
      <x:c r="A36" s="162" t="n">
        <x:f>'配置'!$B$5+('配置'!$B$8-'配置'!$B$5)*1/10</x:f>
        <x:v>151.5</x:v>
      </x:c>
      <x:c r="B36" s="164" t="n">
        <x:f>ROUND('配置'!$B$6+('配置'!$B$9-'配置'!$B$6)*POWER((A36-'配置'!$B$5)/('配置'!$B$8-'配置'!$B$5),'配置'!$B$10),0)</x:f>
        <x:v>370</x:v>
      </x:c>
      <x:c r="C36" s="108"/>
      <x:c r="D36" s="108"/>
      <x:c r="E36" s="108"/>
      <x:c r="F36" s="108"/>
      <x:c r="G36" s="108"/>
      <x:c r="H36" s="108"/>
      <x:c r="I36" s="108"/>
      <x:c r="J36" s="108"/>
      <x:c r="K36" s="108"/>
      <x:c r="L36" s="108"/>
      <x:c r="M36" s="108"/>
      <x:c r="N36" s="108"/>
      <x:c r="O36" s="108"/>
      <x:c r="P36" s="108"/>
      <x:c r="Q36" s="108"/>
    </x:row>
    <x:row r="37">
      <x:c r="A37" s="162" t="n">
        <x:f>'配置'!$B$5+('配置'!$B$8-'配置'!$B$5)*2/10</x:f>
        <x:v>168</x:v>
      </x:c>
      <x:c r="B37" s="164" t="n">
        <x:f>ROUND('配置'!$B$6+('配置'!$B$9-'配置'!$B$6)*POWER((A37-'配置'!$B$5)/('配置'!$B$8-'配置'!$B$5),'配置'!$B$10),0)</x:f>
        <x:v>434</x:v>
      </x:c>
      <x:c r="C37" s="108"/>
      <x:c r="D37" s="108"/>
      <x:c r="E37" s="108"/>
      <x:c r="F37" s="108"/>
      <x:c r="G37" s="108"/>
      <x:c r="H37" s="108"/>
      <x:c r="I37" s="108"/>
      <x:c r="J37" s="108"/>
      <x:c r="K37" s="108"/>
      <x:c r="L37" s="108"/>
      <x:c r="M37" s="108"/>
      <x:c r="N37" s="108"/>
      <x:c r="O37" s="108"/>
      <x:c r="P37" s="108"/>
      <x:c r="Q37" s="108"/>
    </x:row>
    <x:row r="38" s="46" customFormat="1" ht="28.049999237060547" customHeight="1">
      <x:c r="A38" s="162" t="n">
        <x:f>'配置'!$B$5+('配置'!$B$8-'配置'!$B$5)*3/10</x:f>
        <x:v>184.5</x:v>
      </x:c>
      <x:c r="B38" s="164" t="n">
        <x:f>ROUND('配置'!$B$6+('配置'!$B$9-'配置'!$B$6)*POWER((A38-'配置'!$B$5)/('配置'!$B$8-'配置'!$B$5),'配置'!$B$10),0)</x:f>
        <x:v>547</x:v>
      </x:c>
      <x:c r="C38" s="108"/>
      <x:c r="D38" s="108"/>
      <x:c r="E38" s="108"/>
      <x:c r="F38" s="108"/>
      <x:c r="G38" s="108"/>
      <x:c r="H38" s="108"/>
      <x:c r="I38" s="108"/>
      <x:c r="J38" s="108"/>
      <x:c r="K38" s="108"/>
      <x:c r="L38" s="108"/>
      <x:c r="M38" s="108"/>
      <x:c r="N38" s="108"/>
      <x:c r="O38" s="108"/>
      <x:c r="P38" s="108"/>
      <x:c r="Q38" s="108"/>
    </x:row>
    <x:row r="39" s="46" customFormat="1" ht="31.950000762939453" customHeight="1">
      <x:c r="A39" s="162" t="n">
        <x:f>'配置'!$B$5+('配置'!$B$8-'配置'!$B$5)*4/10</x:f>
        <x:v>201</x:v>
      </x:c>
      <x:c r="B39" s="164" t="n">
        <x:f>ROUND('配置'!$B$6+('配置'!$B$9-'配置'!$B$6)*POWER((A39-'配置'!$B$5)/('配置'!$B$8-'配置'!$B$5),'配置'!$B$10),0)</x:f>
        <x:v>711</x:v>
      </x:c>
      <x:c r="C39" s="108"/>
      <x:c r="D39" s="108"/>
      <x:c r="E39" s="108"/>
      <x:c r="F39" s="108"/>
      <x:c r="G39" s="108"/>
      <x:c r="H39" s="108"/>
      <x:c r="I39" s="108"/>
      <x:c r="J39" s="108"/>
      <x:c r="K39" s="108"/>
      <x:c r="L39" s="108"/>
      <x:c r="M39" s="108"/>
      <x:c r="N39" s="108"/>
      <x:c r="O39" s="108"/>
      <x:c r="P39" s="108"/>
      <x:c r="Q39" s="108"/>
    </x:row>
    <x:row r="40" s="46" customFormat="1" ht="31.950000762939453" customHeight="1">
      <x:c r="A40" s="162" t="n">
        <x:f>'配置'!$B$5+('配置'!$B$8-'配置'!$B$5)*5/10</x:f>
        <x:v>217.5</x:v>
      </x:c>
      <x:c r="B40" s="164" t="n">
        <x:f>ROUND('配置'!$B$6+('配置'!$B$9-'配置'!$B$6)*POWER((A40-'配置'!$B$5)/('配置'!$B$8-'配置'!$B$5),'配置'!$B$10),0)</x:f>
        <x:v>927</x:v>
      </x:c>
      <x:c r="C40" s="108"/>
      <x:c r="D40" s="108"/>
      <x:c r="E40" s="108"/>
      <x:c r="F40" s="108"/>
      <x:c r="G40" s="108"/>
      <x:c r="H40" s="108"/>
      <x:c r="I40" s="108"/>
      <x:c r="J40" s="108"/>
      <x:c r="K40" s="108"/>
      <x:c r="L40" s="108"/>
      <x:c r="M40" s="108"/>
      <x:c r="N40" s="108"/>
      <x:c r="O40" s="108"/>
      <x:c r="P40" s="108"/>
      <x:c r="Q40" s="108"/>
    </x:row>
    <x:row r="41" s="46" customFormat="1" ht="31.950000762939453" customHeight="1">
      <x:c r="A41" s="162" t="n">
        <x:f>'配置'!$B$5+('配置'!$B$8-'配置'!$B$5)*6/10</x:f>
        <x:v>234</x:v>
      </x:c>
      <x:c r="B41" s="164" t="n">
        <x:f>ROUND('配置'!$B$6+('配置'!$B$9-'配置'!$B$6)*POWER((A41-'配置'!$B$5)/('配置'!$B$8-'配置'!$B$5),'配置'!$B$10),0)</x:f>
        <x:v>1197</x:v>
      </x:c>
      <x:c r="C41" s="108"/>
      <x:c r="D41" s="108"/>
      <x:c r="E41" s="108"/>
      <x:c r="F41" s="108"/>
      <x:c r="G41" s="108"/>
      <x:c r="H41" s="108"/>
      <x:c r="I41" s="108"/>
      <x:c r="J41" s="108"/>
      <x:c r="K41" s="108"/>
      <x:c r="L41" s="108"/>
      <x:c r="M41" s="108"/>
      <x:c r="N41" s="108"/>
      <x:c r="O41" s="108"/>
      <x:c r="P41" s="108"/>
      <x:c r="Q41" s="108"/>
    </x:row>
    <x:row r="42" s="46" customFormat="1" ht="31.950000762939453" customHeight="1">
      <x:c r="A42" s="162" t="n">
        <x:f>'配置'!$B$5+('配置'!$B$8-'配置'!$B$5)*7/10</x:f>
        <x:v>250.5</x:v>
      </x:c>
      <x:c r="B42" s="164" t="n">
        <x:f>ROUND('配置'!$B$6+('配置'!$B$9-'配置'!$B$6)*POWER((A42-'配置'!$B$5)/('配置'!$B$8-'配置'!$B$5),'配置'!$B$10),0)</x:f>
        <x:v>1520</x:v>
      </x:c>
      <x:c r="C42" s="108"/>
      <x:c r="D42" s="108"/>
      <x:c r="E42" s="108"/>
      <x:c r="F42" s="108"/>
      <x:c r="G42" s="108"/>
      <x:c r="H42" s="108"/>
      <x:c r="I42" s="108"/>
      <x:c r="J42" s="108"/>
      <x:c r="K42" s="108"/>
      <x:c r="L42" s="108"/>
      <x:c r="M42" s="108"/>
      <x:c r="N42" s="108"/>
      <x:c r="O42" s="108"/>
      <x:c r="P42" s="108"/>
      <x:c r="Q42" s="108"/>
    </x:row>
    <x:row r="43">
      <x:c r="A43" s="162" t="n">
        <x:f>'配置'!$B$5+('配置'!$B$8-'配置'!$B$5)*8/10</x:f>
        <x:v>267</x:v>
      </x:c>
      <x:c r="B43" s="164" t="n">
        <x:f>ROUND('配置'!$B$6+('配置'!$B$9-'配置'!$B$6)*POWER((A43-'配置'!$B$5)/('配置'!$B$8-'配置'!$B$5),'配置'!$B$10),0)</x:f>
        <x:v>1899</x:v>
      </x:c>
      <x:c r="C43" s="108"/>
      <x:c r="D43" s="108"/>
      <x:c r="E43" s="108"/>
      <x:c r="F43" s="108"/>
      <x:c r="G43" s="108"/>
      <x:c r="H43" s="108"/>
      <x:c r="I43" s="108"/>
      <x:c r="J43" s="108"/>
      <x:c r="K43" s="108"/>
      <x:c r="L43" s="108"/>
      <x:c r="M43" s="108"/>
      <x:c r="N43" s="108"/>
      <x:c r="O43" s="108"/>
      <x:c r="P43" s="108"/>
      <x:c r="Q43" s="108"/>
    </x:row>
    <x:row r="44">
      <x:c r="A44" s="162" t="n">
        <x:f>'配置'!$B$5+('配置'!$B$8-'配置'!$B$5)*9/10</x:f>
        <x:v>283.5</x:v>
      </x:c>
      <x:c r="B44" s="164" t="n">
        <x:f>ROUND('配置'!$B$6+('配置'!$B$9-'配置'!$B$6)*POWER((A44-'配置'!$B$5)/('配置'!$B$8-'配置'!$B$5),'配置'!$B$10),0)</x:f>
        <x:v>2334</x:v>
      </x:c>
      <x:c r="C44" s="108"/>
      <x:c r="D44" s="108"/>
      <x:c r="E44" s="108"/>
      <x:c r="F44" s="108"/>
      <x:c r="G44" s="108"/>
      <x:c r="H44" s="108"/>
      <x:c r="I44" s="108"/>
      <x:c r="J44" s="108"/>
      <x:c r="K44" s="108"/>
      <x:c r="L44" s="108"/>
      <x:c r="M44" s="108"/>
      <x:c r="N44" s="108"/>
      <x:c r="O44" s="108"/>
      <x:c r="P44" s="108"/>
      <x:c r="Q44" s="108"/>
    </x:row>
    <x:row r="45">
      <x:c r="A45" s="163" t="n">
        <x:f>'配置'!$B$5+('配置'!$B$8-'配置'!$B$5)*10/10</x:f>
        <x:v>300</x:v>
      </x:c>
      <x:c r="B45" s="165" t="n">
        <x:f>ROUND('配置'!$B$6+('配置'!$B$9-'配置'!$B$6)*POWER((A45-'配置'!$B$5)/('配置'!$B$8-'配置'!$B$5),'配置'!$B$10),0)</x:f>
        <x:v>2825</x:v>
      </x:c>
      <x:c r="C45" s="108"/>
      <x:c r="D45" s="108"/>
      <x:c r="E45" s="108"/>
      <x:c r="F45" s="108"/>
      <x:c r="G45" s="108"/>
      <x:c r="H45" s="108"/>
      <x:c r="I45" s="108"/>
      <x:c r="J45" s="108"/>
      <x:c r="K45" s="108"/>
      <x:c r="L45" s="108"/>
      <x:c r="M45" s="108"/>
      <x:c r="N45" s="108"/>
      <x:c r="O45" s="108"/>
      <x:c r="P45" s="108"/>
      <x:c r="Q45" s="108"/>
    </x:row>
    <x:row r="46">
      <x:c r="A46" s="108"/>
      <x:c r="B46" s="108"/>
      <x:c r="C46" s="108"/>
      <x:c r="D46" s="108"/>
      <x:c r="E46" s="108"/>
      <x:c r="F46" s="108"/>
      <x:c r="G46" s="108"/>
      <x:c r="H46" s="108"/>
      <x:c r="I46" s="108"/>
      <x:c r="J46" s="108"/>
      <x:c r="K46" s="108"/>
      <x:c r="L46" s="108"/>
      <x:c r="M46" s="108"/>
      <x:c r="N46" s="108"/>
      <x:c r="O46" s="108"/>
      <x:c r="P46" s="108"/>
      <x:c r="Q46" s="108"/>
    </x:row>
    <x:row r="47">
      <x:c r="A47" s="108"/>
      <x:c r="B47" s="108"/>
      <x:c r="C47" s="108"/>
      <x:c r="D47" s="108"/>
      <x:c r="E47" s="108"/>
      <x:c r="F47" s="108"/>
      <x:c r="G47" s="108"/>
      <x:c r="H47" s="108"/>
      <x:c r="I47" s="108"/>
      <x:c r="J47" s="108"/>
      <x:c r="K47" s="108"/>
      <x:c r="L47" s="108"/>
      <x:c r="M47" s="108"/>
      <x:c r="N47" s="108"/>
      <x:c r="O47" s="108"/>
      <x:c r="P47" s="108"/>
      <x:c r="Q47" s="108"/>
    </x:row>
    <x:row r="48">
      <x:c r="A48" s="108"/>
      <x:c r="B48" s="108"/>
      <x:c r="C48" s="108"/>
      <x:c r="D48" s="108"/>
      <x:c r="E48" s="108"/>
      <x:c r="F48" s="108"/>
      <x:c r="G48" s="108"/>
      <x:c r="H48" s="108"/>
      <x:c r="I48" s="108"/>
      <x:c r="J48" s="108"/>
      <x:c r="K48" s="108"/>
      <x:c r="L48" s="108"/>
      <x:c r="M48" s="108"/>
      <x:c r="N48" s="108"/>
      <x:c r="O48" s="108"/>
      <x:c r="P48" s="108"/>
      <x:c r="Q48" s="108"/>
    </x:row>
    <x:row r="49">
      <x:c r="A49" s="157" t="str">
        <x:v>有效时间(s)</x:v>
      </x:c>
      <x:c r="B49" s="158" t="str">
        <x:v>基准胃口</x:v>
      </x:c>
      <x:c r="C49" s="108"/>
      <x:c r="D49" s="108"/>
      <x:c r="E49" s="108"/>
      <x:c r="F49" s="108"/>
      <x:c r="G49" s="108"/>
      <x:c r="H49" s="108"/>
      <x:c r="I49" s="108"/>
      <x:c r="J49" s="108"/>
      <x:c r="K49" s="108"/>
      <x:c r="L49" s="108"/>
      <x:c r="M49" s="108"/>
      <x:c r="N49" s="108"/>
      <x:c r="O49" s="108"/>
      <x:c r="P49" s="108"/>
      <x:c r="Q49" s="108"/>
    </x:row>
    <x:row r="50">
      <x:c r="A50" s="162" t="n">
        <x:f>'配置'!$B$8+('配置'!$B$11-'配置'!$B$8)*0/10</x:f>
        <x:v>300</x:v>
      </x:c>
      <x:c r="B50" s="164" t="n">
        <x:f>ROUND('配置'!$B$9+('配置'!$B$12-'配置'!$B$9)*POWER((A50-'配置'!$B$8)/('配置'!$B$11-'配置'!$B$8),'配置'!$B$13),0)</x:f>
        <x:v>2825</x:v>
      </x:c>
      <x:c r="C50" s="108"/>
      <x:c r="D50" s="108"/>
      <x:c r="E50" s="108"/>
      <x:c r="F50" s="108"/>
      <x:c r="G50" s="108"/>
      <x:c r="H50" s="108"/>
      <x:c r="I50" s="108"/>
      <x:c r="J50" s="108"/>
      <x:c r="K50" s="108"/>
      <x:c r="L50" s="108"/>
      <x:c r="M50" s="108"/>
      <x:c r="N50" s="108"/>
      <x:c r="O50" s="108"/>
      <x:c r="P50" s="108"/>
      <x:c r="Q50" s="108"/>
    </x:row>
    <x:row r="51">
      <x:c r="A51" s="162" t="n">
        <x:f>'配置'!$B$8+('配置'!$B$11-'配置'!$B$8)*1/10</x:f>
        <x:v>318</x:v>
      </x:c>
      <x:c r="B51" s="164" t="n">
        <x:f>ROUND('配置'!$B$9+('配置'!$B$12-'配置'!$B$9)*POWER((A51-'配置'!$B$8)/('配置'!$B$11-'配置'!$B$8),'配置'!$B$13),0)</x:f>
        <x:v>2898</x:v>
      </x:c>
      <x:c r="C51" s="108"/>
      <x:c r="D51" s="108"/>
      <x:c r="E51" s="108"/>
      <x:c r="F51" s="108"/>
      <x:c r="G51" s="108"/>
      <x:c r="H51" s="108"/>
      <x:c r="I51" s="108"/>
      <x:c r="J51" s="108"/>
      <x:c r="K51" s="108"/>
      <x:c r="L51" s="108"/>
      <x:c r="M51" s="108"/>
      <x:c r="N51" s="108"/>
      <x:c r="O51" s="108"/>
      <x:c r="P51" s="108"/>
      <x:c r="Q51" s="108"/>
    </x:row>
    <x:row r="52">
      <x:c r="A52" s="162" t="n">
        <x:f>'配置'!$B$8+('配置'!$B$11-'配置'!$B$8)*2/10</x:f>
        <x:v>336</x:v>
      </x:c>
      <x:c r="B52" s="164" t="n">
        <x:f>ROUND('配置'!$B$9+('配置'!$B$12-'配置'!$B$9)*POWER((A52-'配置'!$B$8)/('配置'!$B$11-'配置'!$B$8),'配置'!$B$13),0)</x:f>
        <x:v>3137</x:v>
      </x:c>
      <x:c r="C52" s="108"/>
      <x:c r="D52" s="108"/>
      <x:c r="E52" s="108"/>
      <x:c r="F52" s="108"/>
      <x:c r="G52" s="108"/>
      <x:c r="H52" s="108"/>
      <x:c r="I52" s="108"/>
      <x:c r="J52" s="108"/>
      <x:c r="K52" s="108"/>
      <x:c r="L52" s="108"/>
      <x:c r="M52" s="108"/>
      <x:c r="N52" s="108"/>
      <x:c r="O52" s="108"/>
      <x:c r="P52" s="108"/>
      <x:c r="Q52" s="108"/>
    </x:row>
    <x:row r="53">
      <x:c r="A53" s="162" t="n">
        <x:f>'配置'!$B$8+('配置'!$B$11-'配置'!$B$8)*3/10</x:f>
        <x:v>354</x:v>
      </x:c>
      <x:c r="B53" s="164" t="n">
        <x:f>ROUND('配置'!$B$9+('配置'!$B$12-'配置'!$B$9)*POWER((A53-'配置'!$B$8)/('配置'!$B$11-'配置'!$B$8),'配置'!$B$13),0)</x:f>
        <x:v>3557</x:v>
      </x:c>
      <x:c r="C53" s="108"/>
      <x:c r="D53" s="108"/>
      <x:c r="E53" s="108"/>
      <x:c r="F53" s="108"/>
      <x:c r="G53" s="108"/>
      <x:c r="H53" s="108"/>
      <x:c r="I53" s="108"/>
      <x:c r="J53" s="108"/>
      <x:c r="K53" s="108"/>
      <x:c r="L53" s="108"/>
      <x:c r="M53" s="108"/>
      <x:c r="N53" s="108"/>
      <x:c r="O53" s="108"/>
      <x:c r="P53" s="108"/>
      <x:c r="Q53" s="108"/>
    </x:row>
    <x:row r="54">
      <x:c r="A54" s="162" t="n">
        <x:f>'配置'!$B$8+('配置'!$B$11-'配置'!$B$8)*4/10</x:f>
        <x:v>372</x:v>
      </x:c>
      <x:c r="B54" s="164" t="n">
        <x:f>ROUND('配置'!$B$9+('配置'!$B$12-'配置'!$B$9)*POWER((A54-'配置'!$B$8)/('配置'!$B$11-'配置'!$B$8),'配置'!$B$13),0)</x:f>
        <x:v>4164</x:v>
      </x:c>
      <x:c r="C54" s="108"/>
      <x:c r="D54" s="108"/>
      <x:c r="E54" s="108"/>
      <x:c r="F54" s="108"/>
      <x:c r="G54" s="108"/>
      <x:c r="H54" s="108"/>
      <x:c r="I54" s="108"/>
      <x:c r="J54" s="108"/>
      <x:c r="K54" s="108"/>
      <x:c r="L54" s="108"/>
      <x:c r="M54" s="108"/>
      <x:c r="N54" s="108"/>
      <x:c r="O54" s="108"/>
      <x:c r="P54" s="108"/>
      <x:c r="Q54" s="108"/>
    </x:row>
    <x:row r="55">
      <x:c r="A55" s="162" t="n">
        <x:f>'配置'!$B$8+('配置'!$B$11-'配置'!$B$8)*5/10</x:f>
        <x:v>390</x:v>
      </x:c>
      <x:c r="B55" s="164" t="n">
        <x:f>ROUND('配置'!$B$9+('配置'!$B$12-'配置'!$B$9)*POWER((A55-'配置'!$B$8)/('配置'!$B$11-'配置'!$B$8),'配置'!$B$13),0)</x:f>
        <x:v>4965</x:v>
      </x:c>
      <x:c r="C55" s="108"/>
      <x:c r="D55" s="108"/>
      <x:c r="E55" s="108"/>
      <x:c r="F55" s="108"/>
      <x:c r="G55" s="108"/>
      <x:c r="H55" s="108"/>
      <x:c r="I55" s="108"/>
      <x:c r="J55" s="108"/>
      <x:c r="K55" s="108"/>
      <x:c r="L55" s="108"/>
      <x:c r="M55" s="108"/>
      <x:c r="N55" s="108"/>
      <x:c r="O55" s="108"/>
      <x:c r="P55" s="108"/>
      <x:c r="Q55" s="108"/>
    </x:row>
    <x:row r="56">
      <x:c r="A56" s="162" t="n">
        <x:f>'配置'!$B$8+('配置'!$B$11-'配置'!$B$8)*6/10</x:f>
        <x:v>408</x:v>
      </x:c>
      <x:c r="B56" s="164" t="n">
        <x:f>ROUND('配置'!$B$9+('配置'!$B$12-'配置'!$B$9)*POWER((A56-'配置'!$B$8)/('配置'!$B$11-'配置'!$B$8),'配置'!$B$13),0)</x:f>
        <x:v>5964</x:v>
      </x:c>
      <x:c r="C56" s="108"/>
      <x:c r="D56" s="108"/>
      <x:c r="E56" s="108"/>
      <x:c r="F56" s="108"/>
      <x:c r="G56" s="108"/>
      <x:c r="H56" s="108"/>
      <x:c r="I56" s="108"/>
      <x:c r="J56" s="108"/>
      <x:c r="K56" s="108"/>
      <x:c r="L56" s="108"/>
      <x:c r="M56" s="108"/>
      <x:c r="N56" s="108"/>
      <x:c r="O56" s="108"/>
      <x:c r="P56" s="108"/>
      <x:c r="Q56" s="108"/>
    </x:row>
    <x:row r="57">
      <x:c r="A57" s="162" t="n">
        <x:f>'配置'!$B$8+('配置'!$B$11-'配置'!$B$8)*7/10</x:f>
        <x:v>426</x:v>
      </x:c>
      <x:c r="B57" s="164" t="n">
        <x:f>ROUND('配置'!$B$9+('配置'!$B$12-'配置'!$B$9)*POWER((A57-'配置'!$B$8)/('配置'!$B$11-'配置'!$B$8),'配置'!$B$13),0)</x:f>
        <x:v>7163</x:v>
      </x:c>
      <x:c r="C57" s="108"/>
      <x:c r="D57" s="108"/>
      <x:c r="E57" s="108"/>
      <x:c r="F57" s="108"/>
      <x:c r="G57" s="108"/>
      <x:c r="H57" s="108"/>
      <x:c r="I57" s="108"/>
      <x:c r="J57" s="108"/>
      <x:c r="K57" s="108"/>
      <x:c r="L57" s="108"/>
      <x:c r="M57" s="108"/>
      <x:c r="N57" s="108"/>
      <x:c r="O57" s="108"/>
      <x:c r="P57" s="108"/>
      <x:c r="Q57" s="108"/>
    </x:row>
    <x:row r="58">
      <x:c r="A58" s="162" t="n">
        <x:f>'配置'!$B$8+('配置'!$B$11-'配置'!$B$8)*8/10</x:f>
        <x:v>444</x:v>
      </x:c>
      <x:c r="B58" s="164" t="n">
        <x:f>ROUND('配置'!$B$9+('配置'!$B$12-'配置'!$B$9)*POWER((A58-'配置'!$B$8)/('配置'!$B$11-'配置'!$B$8),'配置'!$B$13),0)</x:f>
        <x:v>8567</x:v>
      </x:c>
      <x:c r="C58" s="108"/>
      <x:c r="D58" s="108"/>
      <x:c r="E58" s="108"/>
      <x:c r="F58" s="108"/>
      <x:c r="G58" s="108"/>
      <x:c r="H58" s="108"/>
      <x:c r="I58" s="108"/>
      <x:c r="J58" s="108"/>
      <x:c r="K58" s="108"/>
      <x:c r="L58" s="108"/>
      <x:c r="M58" s="108"/>
      <x:c r="N58" s="108"/>
      <x:c r="O58" s="108"/>
      <x:c r="P58" s="108"/>
      <x:c r="Q58" s="108"/>
    </x:row>
    <x:row r="59">
      <x:c r="A59" s="162" t="n">
        <x:f>'配置'!$B$8+('配置'!$B$11-'配置'!$B$8)*9/10</x:f>
        <x:v>462</x:v>
      </x:c>
      <x:c r="B59" s="164" t="n">
        <x:f>ROUND('配置'!$B$9+('配置'!$B$12-'配置'!$B$9)*POWER((A59-'配置'!$B$8)/('配置'!$B$11-'配置'!$B$8),'配置'!$B$13),0)</x:f>
        <x:v>10179</x:v>
      </x:c>
      <x:c r="C59" s="108"/>
      <x:c r="D59" s="108"/>
      <x:c r="E59" s="108"/>
      <x:c r="F59" s="108"/>
      <x:c r="G59" s="108"/>
      <x:c r="H59" s="108"/>
      <x:c r="I59" s="108"/>
      <x:c r="J59" s="108"/>
      <x:c r="K59" s="108"/>
      <x:c r="L59" s="108"/>
      <x:c r="M59" s="108"/>
      <x:c r="N59" s="108"/>
      <x:c r="O59" s="108"/>
      <x:c r="P59" s="108"/>
      <x:c r="Q59" s="108"/>
    </x:row>
    <x:row r="60">
      <x:c r="A60" s="163" t="n">
        <x:f>'配置'!$B$8+('配置'!$B$11-'配置'!$B$8)*10/10</x:f>
        <x:v>480</x:v>
      </x:c>
      <x:c r="B60" s="165" t="n">
        <x:f>ROUND('配置'!$B$9+('配置'!$B$12-'配置'!$B$9)*POWER((A60-'配置'!$B$8)/('配置'!$B$11-'配置'!$B$8),'配置'!$B$13),0)</x:f>
        <x:v>12000</x:v>
      </x:c>
      <x:c r="C60" s="108"/>
      <x:c r="D60" s="108"/>
      <x:c r="E60" s="108"/>
      <x:c r="F60" s="108"/>
      <x:c r="G60" s="108"/>
      <x:c r="H60" s="108"/>
      <x:c r="I60" s="108"/>
      <x:c r="J60" s="108"/>
      <x:c r="K60" s="108"/>
      <x:c r="L60" s="108"/>
      <x:c r="M60" s="108"/>
      <x:c r="N60" s="108"/>
      <x:c r="O60" s="108"/>
      <x:c r="P60" s="108"/>
      <x:c r="Q60" s="108"/>
    </x:row>
    <x:row r="61">
      <x:c r="A61" s="108"/>
      <x:c r="B61" s="108"/>
      <x:c r="C61" s="108"/>
      <x:c r="D61" s="108"/>
      <x:c r="E61" s="108"/>
      <x:c r="F61" s="108"/>
      <x:c r="G61" s="108"/>
      <x:c r="H61" s="108"/>
      <x:c r="I61" s="108"/>
      <x:c r="J61" s="108"/>
      <x:c r="K61" s="108"/>
      <x:c r="L61" s="108"/>
      <x:c r="M61" s="108"/>
      <x:c r="N61" s="108"/>
      <x:c r="O61" s="108"/>
      <x:c r="P61" s="108"/>
      <x:c r="Q61" s="108"/>
    </x:row>
    <x:row r="62">
      <x:c r="A62" s="108"/>
      <x:c r="B62" s="108"/>
      <x:c r="C62" s="108"/>
      <x:c r="D62" s="108"/>
      <x:c r="E62" s="108"/>
      <x:c r="F62" s="108"/>
      <x:c r="G62" s="108"/>
      <x:c r="H62" s="108"/>
      <x:c r="I62" s="108"/>
      <x:c r="J62" s="108"/>
      <x:c r="K62" s="108"/>
      <x:c r="L62" s="108"/>
      <x:c r="M62" s="108"/>
      <x:c r="N62" s="108"/>
      <x:c r="O62" s="108"/>
      <x:c r="P62" s="108"/>
      <x:c r="Q62" s="108"/>
    </x:row>
    <x:row r="63">
      <x:c r="A63" s="108"/>
      <x:c r="B63" s="108"/>
      <x:c r="C63" s="108"/>
      <x:c r="D63" s="108"/>
      <x:c r="E63" s="108"/>
      <x:c r="F63" s="108"/>
      <x:c r="G63" s="108"/>
      <x:c r="H63" s="108"/>
      <x:c r="I63" s="108"/>
      <x:c r="J63" s="108"/>
      <x:c r="K63" s="108"/>
      <x:c r="L63" s="108"/>
      <x:c r="M63" s="108"/>
      <x:c r="N63" s="108"/>
      <x:c r="O63" s="108"/>
      <x:c r="P63" s="108"/>
      <x:c r="Q63" s="108"/>
    </x:row>
    <x:row r="64">
      <x:c r="A64" s="108"/>
      <x:c r="B64" s="108"/>
      <x:c r="C64" s="108"/>
      <x:c r="D64" s="108"/>
      <x:c r="E64" s="108"/>
      <x:c r="F64" s="108"/>
      <x:c r="G64" s="108"/>
      <x:c r="H64" s="108"/>
      <x:c r="I64" s="108"/>
      <x:c r="J64" s="108"/>
      <x:c r="K64" s="108"/>
      <x:c r="L64" s="108"/>
      <x:c r="M64" s="108"/>
      <x:c r="N64" s="108"/>
      <x:c r="O64" s="108"/>
      <x:c r="P64" s="108"/>
      <x:c r="Q64" s="108"/>
    </x:row>
  </x:sheetData>
  <x:mergeCells>
    <x:mergeCell ref="A1:Q1"/>
    <x:mergeCell ref="A2:Q2"/>
    <x:mergeCell ref="A4:E4"/>
    <x:mergeCell ref="L4:Q4"/>
    <x:mergeCell ref="L20:Q20"/>
    <x:mergeCell ref="L21:Q21"/>
    <x:mergeCell ref="L22:Q22"/>
    <x:mergeCell ref="L23:Q23"/>
    <x:mergeCell ref="L24:Q24"/>
    <x:mergeCell ref="L25:Q25"/>
  </x:mergeCells>
  <x:pageMargins left="0.7" right="0.7" top="0.75" bottom="0.75" header="0.3" footer="0.3"/>
  <x:drawing xmlns:r="http://schemas.openxmlformats.org/officeDocument/2006/relationships" r:id="R33fe75712682478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33" style="46" hidden="0" customWidth="1"/>
    <x:col min="2" max="2" width="32" style="46" hidden="0" customWidth="1"/>
    <x:col min="3" max="3" width="34" style="46" hidden="0" customWidth="1"/>
    <x:col min="4" max="4" width="44" style="46" hidden="0" customWidth="1"/>
    <x:col min="5" max="5" width="38" style="46" hidden="0" customWidth="1"/>
  </x:cols>
  <x:sheetData>
    <x:row r="1" s="46" customFormat="1" ht="30" customHeight="1">
      <x:c r="A1" s="90" t="inlineStr">
        <x:is>
          <x:t xml:space="preserve">参数ID</x:t>
        </x:is>
      </x:c>
      <x:c r="B1" s="91" t="inlineStr">
        <x:is>
          <x:t xml:space="preserve">数值</x:t>
        </x:is>
      </x:c>
      <x:c r="C1" s="91" t="inlineStr">
        <x:is>
          <x:t xml:space="preserve">说明</x:t>
        </x:is>
      </x:c>
      <x:c r="D1" s="91" t="inlineStr">
        <x:is>
          <x:t xml:space="preserve">对游戏的影响</x:t>
        </x:is>
      </x:c>
      <x:c r="E1" s="92" t="inlineStr">
        <x:is>
          <x:t xml:space="preserve">修改建议</x:t>
        </x:is>
      </x:c>
    </x:row>
    <x:row r="2" s="46" customFormat="1" ht="32" customHeight="1">
      <x:c r="A2" s="93" t="inlineStr">
        <x:is>
          <x:t xml:space="preserve">schema_id</x:t>
        </x:is>
      </x:c>
      <x:c r="B2" s="94" t="inlineStr">
        <x:is>
          <x:t xml:space="preserve">xiaochuxi.encounter_timeline</x:t>
        </x:is>
      </x:c>
      <x:c r="C2" s="95" t="inlineStr">
        <x:is>
          <x:t xml:space="preserve">表结构标识，请勿修改</x:t>
        </x:is>
      </x:c>
      <x:c r="D2" s="95" t="inlineStr">
        <x:is>
          <x:t xml:space="preserve">用于确认这是小厨西时间轴表</x:t>
        </x:is>
      </x:c>
      <x:c r="E2" s="96" t="inlineStr">
        <x:is>
          <x:t xml:space="preserve">不要修改</x:t>
        </x:is>
      </x:c>
    </x:row>
    <x:row r="3" s="46" customFormat="1" ht="32" customHeight="1">
      <x:c r="A3" s="93" t="inlineStr">
        <x:is>
          <x:t xml:space="preserve">schema_version</x:t>
        </x:is>
      </x:c>
      <x:c r="B3" s="104" t="n">
        <x:v>4</x:v>
      </x:c>
      <x:c r="C3" s="95" t="inlineStr">
        <x:is>
          <x:t xml:space="preserve">表结构版本，请勿修改</x:t>
        </x:is>
      </x:c>
      <x:c r="D3" s="95" t="inlineStr">
        <x:is>
          <x:t xml:space="preserve">用于识别表结构兼容性</x:t>
        </x:is>
      </x:c>
      <x:c r="E3" s="96" t="inlineStr">
        <x:is>
          <x:t xml:space="preserve">不要修改</x:t>
        </x:is>
      </x:c>
    </x:row>
    <x:row r="4" s="46" customFormat="1" ht="32" customHeight="1">
      <x:c r="A4" s="93" t="inlineStr">
        <x:is>
          <x:t xml:space="preserve">baseline_appetite_start</x:t>
        </x:is>
      </x:c>
      <x:c r="B4" s="105" t="n">
        <x:v>15</x:v>
      </x:c>
      <x:c r="C4" s="95" t="inlineStr">
        <x:is>
          <x:t xml:space="preserve">有效游戏时间0秒的起始胃口</x:t>
        </x:is>
      </x:c>
      <x:c r="D4" s="95" t="inlineStr">
        <x:is>
          <x:t xml:space="preserve">决定开局食客、门和漏客伤害的基准</x:t>
        </x:is>
      </x:c>
      <x:c r="E4" s="96" t="inlineStr">
        <x:is>
          <x:t xml:space="preserve">只在开局整体过难或过易时调整</x:t>
        </x:is>
      </x:c>
    </x:row>
    <x:row r="5" s="46" customFormat="1" ht="32" customHeight="1">
      <x:c r="A5" s="93" t="inlineStr">
        <x:is>
          <x:t xml:space="preserve">appetite_segment_1_end_time</x:t>
        </x:is>
      </x:c>
      <x:c r="B5" s="105" t="n">
        <x:v>135</x:v>
      </x:c>
      <x:c r="C5" s="95" t="inlineStr">
        <x:is>
          <x:t xml:space="preserve">第一段结束时间（秒）</x:t>
        </x:is>
      </x:c>
      <x:c r="D5" s="95" t="inlineStr">
        <x:is>
          <x:t xml:space="preserve">控制第一段何时到达第一段最大胃口</x:t>
        </x:is>
      </x:c>
      <x:c r="E5" s="96" t="inlineStr">
        <x:is>
          <x:t xml:space="preserve">必须早于第二、三段结束时间</x:t>
        </x:is>
      </x:c>
    </x:row>
    <x:row r="6" s="46" customFormat="1" ht="32" customHeight="1">
      <x:c r="A6" s="93" t="inlineStr">
        <x:is>
          <x:t xml:space="preserve">appetite_segment_1_maximum</x:t>
        </x:is>
      </x:c>
      <x:c r="B6" s="105" t="n">
        <x:v>350</x:v>
      </x:c>
      <x:c r="C6" s="95" t="inlineStr">
        <x:is>
          <x:t xml:space="preserve">第一段最大胃口</x:t>
        </x:is>
      </x:c>
      <x:c r="D6" s="95" t="inlineStr">
        <x:is>
          <x:t xml:space="preserve">第一段结束时锁定的基准胃口</x:t>
        </x:is>
      </x:c>
      <x:c r="E6" s="96" t="inlineStr">
        <x:is>
          <x:t xml:space="preserve">前段压力过高或过低时调整</x:t>
        </x:is>
      </x:c>
    </x:row>
    <x:row r="7" s="46" customFormat="1" ht="32" customHeight="1">
      <x:c r="A7" s="93" t="inlineStr">
        <x:is>
          <x:t xml:space="preserve">appetite_segment_1_exponent</x:t>
        </x:is>
      </x:c>
      <x:c r="B7" s="105" t="n">
        <x:v>2.1</x:v>
      </x:c>
      <x:c r="C7" s="95" t="inlineStr">
        <x:is>
          <x:t xml:space="preserve">第一段胃口增长指数</x:t>
        </x:is>
      </x:c>
      <x:c r="D7" s="95" t="inlineStr">
        <x:is>
          <x:t xml:space="preserve">只控制第一段内部形状，不控制结束时间</x:t>
        </x:is>
      </x:c>
      <x:c r="E7" s="96" t="inlineStr">
        <x:is>
          <x:t xml:space="preserve">大于1时前缓后陡；必须大于0</x:t>
        </x:is>
      </x:c>
    </x:row>
    <x:row r="8" ht="32" customHeight="1">
      <x:c r="A8" s="99" t="inlineStr">
        <x:is>
          <x:t xml:space="preserve">appetite_segment_2_end_time</x:t>
        </x:is>
      </x:c>
      <x:c r="B8" s="106" t="n">
        <x:v>300</x:v>
      </x:c>
      <x:c r="C8" s="72" t="inlineStr">
        <x:is>
          <x:t xml:space="preserve">第二段结束时间（秒）</x:t>
        </x:is>
      </x:c>
      <x:c r="D8" s="72" t="inlineStr">
        <x:is>
          <x:t xml:space="preserve">控制第二段何时到达第二段最大胃口</x:t>
        </x:is>
      </x:c>
      <x:c r="E8" s="101" t="inlineStr">
        <x:is>
          <x:t xml:space="preserve">必须晚于第一段且早于第三段</x:t>
        </x:is>
      </x:c>
    </x:row>
    <x:row r="9" ht="32" customHeight="1">
      <x:c r="A9" s="99" t="inlineStr">
        <x:is>
          <x:t xml:space="preserve">appetite_segment_2_maximum</x:t>
        </x:is>
      </x:c>
      <x:c r="B9" s="106" t="n">
        <x:v>2825</x:v>
      </x:c>
      <x:c r="C9" s="72" t="inlineStr">
        <x:is>
          <x:t xml:space="preserve">第二段最大胃口</x:t>
        </x:is>
      </x:c>
      <x:c r="D9" s="72" t="inlineStr">
        <x:is>
          <x:t xml:space="preserve">第二段结束时锁定的基准胃口</x:t>
        </x:is>
      </x:c>
      <x:c r="E9" s="101" t="inlineStr">
        <x:is>
          <x:t xml:space="preserve">中段压力过高或过低时调整</x:t>
        </x:is>
      </x:c>
    </x:row>
    <x:row r="10" ht="32" customHeight="1">
      <x:c r="A10" s="99" t="inlineStr">
        <x:is>
          <x:t xml:space="preserve">appetite_segment_2_exponent</x:t>
        </x:is>
      </x:c>
      <x:c r="B10" s="106" t="n">
        <x:v>2.1</x:v>
      </x:c>
      <x:c r="C10" s="72" t="inlineStr">
        <x:is>
          <x:t xml:space="preserve">第二段胃口增长指数</x:t>
        </x:is>
      </x:c>
      <x:c r="D10" s="72" t="inlineStr">
        <x:is>
          <x:t xml:space="preserve">只控制第二段内部形状，不控制结束时间</x:t>
        </x:is>
      </x:c>
      <x:c r="E10" s="101" t="inlineStr">
        <x:is>
          <x:t xml:space="preserve">大于1时前缓后陡；必须大于0</x:t>
        </x:is>
      </x:c>
    </x:row>
    <x:row r="11" ht="32" customHeight="1">
      <x:c r="A11" s="99" t="inlineStr">
        <x:is>
          <x:t xml:space="preserve">appetite_segment_3_end_time</x:t>
        </x:is>
      </x:c>
      <x:c r="B11" s="106" t="n">
        <x:v>480</x:v>
      </x:c>
      <x:c r="C11" s="72" t="inlineStr">
        <x:is>
          <x:t xml:space="preserve">第三段结束时间（秒）</x:t>
        </x:is>
      </x:c>
      <x:c r="D11" s="72" t="inlineStr">
        <x:is>
          <x:t xml:space="preserve">控制第三段何时到达最终最大胃口</x:t>
        </x:is>
      </x:c>
      <x:c r="E11" s="101" t="inlineStr">
        <x:is>
          <x:t xml:space="preserve">必须晚于前两段；超过后胃口封顶</x:t>
        </x:is>
      </x:c>
    </x:row>
    <x:row r="12" ht="32" customHeight="1">
      <x:c r="A12" s="99" t="inlineStr">
        <x:is>
          <x:t xml:space="preserve">appetite_segment_3_maximum</x:t>
        </x:is>
      </x:c>
      <x:c r="B12" s="106" t="n">
        <x:v>12000</x:v>
      </x:c>
      <x:c r="C12" s="72" t="inlineStr">
        <x:is>
          <x:t xml:space="preserve">第三段最大胃口</x:t>
        </x:is>
      </x:c>
      <x:c r="D12" s="72" t="inlineStr">
        <x:is>
          <x:t xml:space="preserve">第三段结束后持续使用的最终基准胃口</x:t>
        </x:is>
      </x:c>
      <x:c r="E12" s="101" t="inlineStr">
        <x:is>
          <x:t xml:space="preserve">末段压力过高或过低时调整</x:t>
        </x:is>
      </x:c>
    </x:row>
    <x:row r="13" ht="32" customHeight="1">
      <x:c r="A13" s="99" t="inlineStr">
        <x:is>
          <x:t xml:space="preserve">appetite_segment_3_exponent</x:t>
        </x:is>
      </x:c>
      <x:c r="B13" s="106" t="n">
        <x:v>2.1</x:v>
      </x:c>
      <x:c r="C13" s="72" t="inlineStr">
        <x:is>
          <x:t xml:space="preserve">第三段胃口增长指数</x:t>
        </x:is>
      </x:c>
      <x:c r="D13" s="72" t="inlineStr">
        <x:is>
          <x:t xml:space="preserve">只控制第三段内部形状，不控制结束时间</x:t>
        </x:is>
      </x:c>
      <x:c r="E13" s="101" t="inlineStr">
        <x:is>
          <x:t xml:space="preserve">大于1时前缓后陡；必须大于0</x:t>
        </x:is>
      </x:c>
    </x:row>
    <x:row r="14" ht="32" customHeight="1">
      <x:c r="A14" s="99" t="inlineStr">
        <x:is>
          <x:t xml:space="preserve">course_distance</x:t>
        </x:is>
      </x:c>
      <x:c r="B14" s="106" t="n">
        <x:v>1310.763</x:v>
      </x:c>
      <x:c r="C14" s="72" t="inlineStr">
        <x:is>
          <x:t xml:space="preserve">正式总路程（米）</x:t>
        </x:is>
      </x:c>
      <x:c r="D14" s="72" t="inlineStr">
        <x:is>
          <x:t xml:space="preserve">决定路程进度、事件、普通门与波次的实际推进尺度</x:t>
        </x:is>
      </x:c>
      <x:c r="E14" s="101" t="inlineStr">
        <x:is>
          <x:t xml:space="preserve">不要用目标时长反推；调整会移动全部路程节点</x:t>
        </x:is>
      </x:c>
    </x:row>
    <x:row r="15" ht="32" customHeight="1">
      <x:c r="A15" s="99" t="inlineStr">
        <x:is>
          <x:t xml:space="preserve">target_active_duration</x:t>
        </x:is>
      </x:c>
      <x:c r="B15" s="106" t="n">
        <x:v>480</x:v>
      </x:c>
      <x:c r="C15" s="72" t="inlineStr">
        <x:is>
          <x:t xml:space="preserve">策划参考：目标有效游戏时长（秒）</x:t>
        </x:is>
      </x:c>
      <x:c r="D15" s="72" t="inlineStr">
        <x:is>
          <x:t xml:space="preserve">不进入运行计算；用于对照实测单局总时长</x:t>
        </x:is>
      </x:c>
      <x:c r="E15" s="101" t="inlineStr">
        <x:is>
          <x:t xml:space="preserve">根据实测记录校准Boss胃口与整体节奏</x:t>
        </x:is>
      </x:c>
    </x:row>
    <x:row r="16" ht="32" customHeight="1">
      <x:c r="A16" s="99" t="inlineStr">
        <x:is>
          <x:t xml:space="preserve">target_boss_duration</x:t>
        </x:is>
      </x:c>
      <x:c r="B16" s="106" t="n">
        <x:v>25</x:v>
      </x:c>
      <x:c r="C16" s="72" t="inlineStr">
        <x:is>
          <x:t xml:space="preserve">策划参考：单场Boss目标时长（秒）</x:t>
        </x:is>
      </x:c>
      <x:c r="D16" s="72" t="inlineStr">
        <x:is>
          <x:t xml:space="preserve">不写死Boss结束时间；Boss仍由实际胃口与输出决定</x:t>
        </x:is>
      </x:c>
      <x:c r="E16" s="101" t="inlineStr">
        <x:is>
          <x:t xml:space="preserve">调Boss胃口倍率，使实测耗时趋近目标</x:t>
        </x:is>
      </x:c>
    </x:row>
    <x:row r="17" ht="32" customHeight="1">
      <x:c r="A17" s="99" t="inlineStr">
        <x:is>
          <x:t xml:space="preserve">normal_gate_count</x:t>
        </x:is>
      </x:c>
      <x:c r="B17" s="106" t="n">
        <x:v>50</x:v>
      </x:c>
      <x:c r="C17" s="72" t="inlineStr">
        <x:is>
          <x:t xml:space="preserve">正式普通强化门数量</x:t>
        </x:is>
      </x:c>
      <x:c r="D17" s="72" t="inlineStr">
        <x:is>
          <x:t xml:space="preserve">按总路程均匀分布，只在前进阶段生成</x:t>
        </x:is>
      </x:c>
      <x:c r="E17" s="101" t="inlineStr">
        <x:is>
          <x:t xml:space="preserve">改变成长频率，不改变事件路程进度</x:t>
        </x:is>
      </x:c>
    </x:row>
    <x:row r="18" ht="32" customHeight="1">
      <x:c r="A18" s="99" t="inlineStr">
        <x:is>
          <x:t xml:space="preserve">normal_wave_count</x:t>
        </x:is>
      </x:c>
      <x:c r="B18" s="106" t="n">
        <x:v>235</x:v>
      </x:c>
      <x:c r="C18" s="72" t="inlineStr">
        <x:is>
          <x:t xml:space="preserve">距离制普通波次数量</x:t>
        </x:is>
      </x:c>
      <x:c r="D18" s="72" t="inlineStr">
        <x:is>
          <x:t xml:space="preserve">按总路程均匀分布，保持现有五波轮换与双客密度</x:t>
        </x:is>
      </x:c>
      <x:c r="E18" s="101" t="inlineStr">
        <x:is>
          <x:t xml:space="preserve">改变食客密度；调整后检查生成安全距离</x:t>
        </x:is>
      </x:c>
    </x:row>
    <x:row r="19" ht="32" customHeight="1">
      <x:c r="A19" s="99" t="inlineStr">
        <x:is>
          <x:t xml:space="preserve">headwind_factor</x:t>
        </x:is>
      </x:c>
      <x:c r="B19" s="106" t="n">
        <x:v>1.25</x:v>
      </x:c>
      <x:c r="C19" s="72" t="inlineStr">
        <x:is>
          <x:t xml:space="preserve">额外前进速度转为迎面风阻的倍率</x:t>
        </x:is>
      </x:c>
      <x:c r="D19" s="72" t="inlineStr">
        <x:is>
          <x:t xml:space="preserve">压力档越高，普通投射物迎面风阻越强</x:t>
        </x:is>
      </x:c>
      <x:c r="E19" s="101" t="inlineStr">
        <x:is>
          <x:t xml:space="preserve">必须大于等于0；调整后复核弹道可读性</x:t>
        </x:is>
      </x:c>
    </x:row>
    <x:row r="20" ht="32" customHeight="1">
      <x:c r="A20" s="99" t="inlineStr">
        <x:is>
          <x:t xml:space="preserve">max_crosswind_speed</x:t>
        </x:is>
      </x:c>
      <x:c r="B20" s="106" t="n">
        <x:v>60</x:v>
      </x:c>
      <x:c r="C20" s="72" t="inlineStr">
        <x:is>
          <x:t xml:space="preserve">末档侧漂速度（设计像素/秒）</x:t>
        </x:is>
      </x:c>
      <x:c r="D20" s="72" t="inlineStr">
        <x:is>
          <x:t xml:space="preserve">控制末段横向风偏强度</x:t>
        </x:is>
      </x:c>
      <x:c r="E20" s="101" t="inlineStr">
        <x:is>
          <x:t xml:space="preserve">必须大于等于0；过强会降低操控可读性</x:t>
        </x:is>
      </x:c>
    </x:row>
    <x:row r="21" ht="32" customHeight="1">
      <x:c r="A21" s="102" t="inlineStr">
        <x:is>
          <x:t xml:space="preserve">minimum_cart_base_speed_factor</x:t>
        </x:is>
      </x:c>
      <x:c r="B21" s="107" t="n">
        <x:v>0.8</x:v>
      </x:c>
      <x:c r="C21" s="77" t="inlineStr">
        <x:is>
          <x:t xml:space="preserve">末档疲劳与颠簸保留的基础横移比例</x:t>
        </x:is>
      </x:c>
      <x:c r="D21" s="77" t="inlineStr">
        <x:is>
          <x:t xml:space="preserve">控制末档基础横移速度下限</x:t>
        </x:is>
      </x:c>
      <x:c r="E21" s="103" t="inlineStr">
        <x:is>
          <x:t xml:space="preserve">取值必须大于0且不超过1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91eb49e64d43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13" style="46" hidden="0" customWidth="1"/>
    <x:col min="2" max="2" width="16" style="46" hidden="0" customWidth="1"/>
    <x:col min="3" max="3" width="14" style="46" hidden="0" customWidth="1"/>
    <x:col min="4" max="4" width="42" style="46" hidden="0" customWidth="1"/>
    <x:col min="5" max="5" width="12" style="46" hidden="0" customWidth="1"/>
    <x:col min="6" max="11" width="12" style="46" customWidth="1"/>
    <x:col min="12" max="14" width="14" style="46" customWidth="1"/>
  </x:cols>
  <x:sheetData>
    <x:row r="1" s="46" customFormat="1" ht="30" customHeight="1">
      <x:c r="A1" s="66" t="str">
        <x:v>路程进度</x:v>
      </x:c>
      <x:c r="B1" s="67" t="str">
        <x:v>事件ID</x:v>
      </x:c>
      <x:c r="C1" s="67" t="str">
        <x:v>类型</x:v>
      </x:c>
      <x:c r="D1" s="67" t="str">
        <x:v>说明</x:v>
      </x:c>
      <x:c r="E1" s="68" t="str">
        <x:v>前进倍率</x:v>
      </x:c>
      <x:c r="F1"/>
      <x:c r="G1"/>
      <x:c r="H1"/>
      <x:c r="I1"/>
      <x:c r="J1"/>
      <x:c r="K1"/>
      <x:c r="L1"/>
      <x:c r="M1"/>
      <x:c r="N1"/>
      <x:c r="O1"/>
    </x:row>
    <x:row r="2" s="46" customFormat="1" ht="24" customHeight="1">
      <x:c r="A2" s="69" t="n">
        <x:v>0.005</x:v>
      </x:c>
      <x:c r="B2" s="70" t="str">
        <x:v>start_gate</x:v>
      </x:c>
      <x:c r="C2" s="71" t="str">
        <x:v>开局食材门</x:v>
      </x:c>
      <x:c r="D2" s="72" t="str">
        <x:v>总路程0.5%处提供开局食材选择</x:v>
      </x:c>
      <x:c r="E2" s="73"/>
      <x:c r="F2"/>
      <x:c r="G2"/>
      <x:c r="H2"/>
      <x:c r="I2"/>
      <x:c r="J2"/>
      <x:c r="K2"/>
      <x:c r="L2"/>
      <x:c r="M2"/>
      <x:c r="N2"/>
    </x:row>
    <x:row r="3" s="46" customFormat="1" ht="24" customHeight="1">
      <x:c r="A3" s="69" t="n">
        <x:v>0.125</x:v>
      </x:c>
      <x:c r="B3" s="70" t="str">
        <x:v>elite</x:v>
      </x:c>
      <x:c r="C3" s="71" t="str">
        <x:v>精英</x:v>
      </x:c>
      <x:c r="D3" s="72" t="str">
        <x:v>第一只精英</x:v>
      </x:c>
      <x:c r="E3" s="73"/>
      <x:c r="F3"/>
      <x:c r="G3"/>
      <x:c r="H3"/>
      <x:c r="I3"/>
      <x:c r="J3"/>
      <x:c r="K3"/>
      <x:c r="L3"/>
      <x:c r="M3"/>
      <x:c r="N3"/>
    </x:row>
    <x:row r="4" s="46" customFormat="1" ht="24" customHeight="1">
      <x:c r="A4" s="69" t="n">
        <x:v>0.1875</x:v>
      </x:c>
      <x:c r="B4" s="70"/>
      <x:c r="C4" s="71" t="str">
        <x:v>压力</x:v>
      </x:c>
      <x:c r="D4" s="72" t="str">
        <x:v>前进倍率提升至1.1</x:v>
      </x:c>
      <x:c r="E4" s="73" t="n">
        <x:v>1.1</x:v>
      </x:c>
      <x:c r="F4"/>
      <x:c r="G4"/>
      <x:c r="H4"/>
      <x:c r="I4"/>
      <x:c r="J4"/>
      <x:c r="K4"/>
      <x:c r="L4"/>
      <x:c r="M4"/>
      <x:c r="N4"/>
      <x:c r="O4"/>
    </x:row>
    <x:row r="5" s="46" customFormat="1" ht="24" customHeight="1">
      <x:c r="A5" s="69" t="n">
        <x:v>0.25</x:v>
      </x:c>
      <x:c r="B5" s="70" t="str">
        <x:v>elite</x:v>
      </x:c>
      <x:c r="C5" s="71" t="str">
        <x:v>精英</x:v>
      </x:c>
      <x:c r="D5" s="72" t="str">
        <x:v>第二只精英</x:v>
      </x:c>
      <x:c r="E5" s="73"/>
      <x:c r="F5"/>
      <x:c r="G5"/>
      <x:c r="H5"/>
      <x:c r="I5"/>
      <x:c r="J5"/>
      <x:c r="K5"/>
      <x:c r="L5"/>
      <x:c r="M5"/>
      <x:c r="N5"/>
    </x:row>
    <x:row r="6" s="46" customFormat="1" ht="24" customHeight="1">
      <x:c r="A6" s="69" t="n">
        <x:v>0.3125</x:v>
      </x:c>
      <x:c r="B6" s="70"/>
      <x:c r="C6" s="71" t="str">
        <x:v>压力</x:v>
      </x:c>
      <x:c r="D6" s="72" t="str">
        <x:v>前进倍率提升至1.3</x:v>
      </x:c>
      <x:c r="E6" s="73" t="n">
        <x:v>1.3</x:v>
      </x:c>
      <x:c r="F6"/>
      <x:c r="G6"/>
      <x:c r="H6"/>
      <x:c r="I6"/>
      <x:c r="J6"/>
      <x:c r="K6"/>
      <x:c r="L6"/>
      <x:c r="M6"/>
      <x:c r="N6"/>
      <x:c r="O6"/>
    </x:row>
    <x:row r="7" s="46" customFormat="1" ht="24" customHeight="1">
      <x:c r="A7" s="69" t="n">
        <x:v>0.375</x:v>
      </x:c>
      <x:c r="B7" s="70" t="str">
        <x:v>elite</x:v>
      </x:c>
      <x:c r="C7" s="71" t="str">
        <x:v>精英</x:v>
      </x:c>
      <x:c r="D7" s="72" t="str">
        <x:v>第三只精英</x:v>
      </x:c>
      <x:c r="E7" s="73"/>
      <x:c r="F7"/>
      <x:c r="G7"/>
      <x:c r="H7"/>
      <x:c r="I7"/>
      <x:c r="J7"/>
      <x:c r="K7"/>
      <x:c r="L7"/>
      <x:c r="M7"/>
      <x:c r="N7"/>
    </x:row>
    <x:row r="8" s="46" customFormat="1" ht="24" customHeight="1">
      <x:c r="A8" s="69" t="n">
        <x:v>0.5</x:v>
      </x:c>
      <x:c r="B8" s="70" t="str">
        <x:v>boss</x:v>
      </x:c>
      <x:c r="C8" s="71" t="str">
        <x:v>Boss/压力</x:v>
      </x:c>
      <x:c r="D8" s="72" t="str">
        <x:v>中途Boss；胜利后进入1.7倍前进</x:v>
      </x:c>
      <x:c r="E8" s="73" t="n">
        <x:v>1.7</x:v>
      </x:c>
      <x:c r="F8"/>
      <x:c r="G8"/>
      <x:c r="H8"/>
      <x:c r="I8"/>
      <x:c r="J8"/>
      <x:c r="K8"/>
      <x:c r="L8"/>
      <x:c r="M8"/>
      <x:c r="N8"/>
      <x:c r="O8"/>
    </x:row>
    <x:row r="9" s="46" customFormat="1" ht="24" customHeight="1">
      <x:c r="A9" s="69" t="n">
        <x:v>0.625</x:v>
      </x:c>
      <x:c r="B9" s="70" t="str">
        <x:v>elite</x:v>
      </x:c>
      <x:c r="C9" s="71" t="str">
        <x:v>精英</x:v>
      </x:c>
      <x:c r="D9" s="72" t="str">
        <x:v>第四只精英</x:v>
      </x:c>
      <x:c r="E9" s="73"/>
      <x:c r="F9"/>
      <x:c r="G9"/>
      <x:c r="H9"/>
      <x:c r="I9"/>
      <x:c r="J9"/>
      <x:c r="K9"/>
      <x:c r="L9"/>
      <x:c r="M9"/>
      <x:c r="N9"/>
    </x:row>
    <x:row r="10" s="46" customFormat="1" ht="24" customHeight="1">
      <x:c r="A10" s="69" t="n">
        <x:v>0.6875</x:v>
      </x:c>
      <x:c r="B10" s="70"/>
      <x:c r="C10" s="71" t="str">
        <x:v>压力</x:v>
      </x:c>
      <x:c r="D10" s="72" t="str">
        <x:v>前进倍率提升至2.3</x:v>
      </x:c>
      <x:c r="E10" s="73" t="n">
        <x:v>2.3</x:v>
      </x:c>
      <x:c r="F10"/>
      <x:c r="G10"/>
      <x:c r="H10"/>
      <x:c r="I10"/>
      <x:c r="J10"/>
      <x:c r="K10"/>
      <x:c r="L10"/>
      <x:c r="M10"/>
      <x:c r="N10"/>
      <x:c r="O10"/>
    </x:row>
    <x:row r="11" s="46" customFormat="1" ht="24" customHeight="1">
      <x:c r="A11" s="69" t="n">
        <x:v>0.75</x:v>
      </x:c>
      <x:c r="B11" s="70" t="str">
        <x:v>elite</x:v>
      </x:c>
      <x:c r="C11" s="71" t="str">
        <x:v>精英</x:v>
      </x:c>
      <x:c r="D11" s="72" t="str">
        <x:v>第五只精英</x:v>
      </x:c>
      <x:c r="E11" s="73"/>
      <x:c r="F11"/>
      <x:c r="G11"/>
      <x:c r="H11"/>
      <x:c r="I11"/>
      <x:c r="J11"/>
      <x:c r="K11"/>
      <x:c r="L11"/>
      <x:c r="M11"/>
      <x:c r="N11"/>
    </x:row>
    <x:row r="12" s="46" customFormat="1" ht="24" customHeight="1">
      <x:c r="A12" s="69" t="n">
        <x:v>0.8125</x:v>
      </x:c>
      <x:c r="B12" s="70"/>
      <x:c r="C12" s="71" t="str">
        <x:v>压力</x:v>
      </x:c>
      <x:c r="D12" s="72" t="str">
        <x:v>前进倍率提升至3.0</x:v>
      </x:c>
      <x:c r="E12" s="73" t="n">
        <x:v>3</x:v>
      </x:c>
      <x:c r="F12"/>
      <x:c r="G12"/>
      <x:c r="H12"/>
      <x:c r="I12"/>
      <x:c r="J12"/>
      <x:c r="K12"/>
      <x:c r="L12"/>
      <x:c r="M12"/>
      <x:c r="N12"/>
      <x:c r="O12"/>
    </x:row>
    <x:row r="13" s="46" customFormat="1" ht="24" customHeight="1">
      <x:c r="A13" s="69" t="n">
        <x:v>0.875</x:v>
      </x:c>
      <x:c r="B13" s="70" t="str">
        <x:v>elite</x:v>
      </x:c>
      <x:c r="C13" s="71" t="str">
        <x:v>精英</x:v>
      </x:c>
      <x:c r="D13" s="72" t="str">
        <x:v>第六只精英</x:v>
      </x:c>
      <x:c r="E13" s="73"/>
      <x:c r="F13"/>
      <x:c r="G13"/>
      <x:c r="H13"/>
      <x:c r="I13"/>
      <x:c r="J13"/>
      <x:c r="K13"/>
      <x:c r="L13"/>
      <x:c r="M13"/>
      <x:c r="N13"/>
    </x:row>
    <x:row r="14" s="46" customFormat="1" ht="24" customHeight="1">
      <x:c r="A14" s="74" t="n">
        <x:v>1</x:v>
      </x:c>
      <x:c r="B14" s="75" t="str">
        <x:v>boss</x:v>
      </x:c>
      <x:c r="C14" s="76" t="str">
        <x:v>Boss</x:v>
      </x:c>
      <x:c r="D14" s="77" t="str">
        <x:v>最终Boss</x:v>
      </x:c>
      <x:c r="E14" s="78"/>
      <x:c r="F14"/>
      <x:c r="G14"/>
      <x:c r="H14"/>
      <x:c r="I14"/>
      <x:c r="J14"/>
      <x:c r="K14"/>
      <x:c r="L14"/>
      <x:c r="M14"/>
      <x:c r="N14"/>
    </x:row>
    <x:row r="15" s="46" customFormat="1" ht="31.950000762939453" customHeight="1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s="46" customFormat="1" ht="31.950000762939453" customHeight="1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 s="46" customFormat="1" ht="22.049999237060547" customHeight="1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 s="46" customFormat="1" ht="22.049999237060547" customHeight="1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s="46" customFormat="1" ht="22.049999237060547" customHeight="1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</x:row>
    <x:row r="20" s="46" customFormat="1" ht="22.049999237060547" customHeight="1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</x:row>
    <x:row r="21" s="46" customFormat="1" ht="22.049999237060547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s="46" customFormat="1" ht="22.049999237060547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  <x:row r="23" s="46" customFormat="1" ht="22.049999237060547" customHeight="1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</x:row>
    <x:row r="24" s="46" customFormat="1" ht="22.049999237060547" customHeight="1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</x:row>
    <x:row r="25" s="46" customFormat="1" ht="22.049999237060547" customHeight="1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</x:row>
    <x:row r="26" s="46" customFormat="1" ht="22.049999237060547" customHeight="1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</x:row>
    <x:row r="27" s="46" customFormat="1" ht="22.049999237060547" customHeight="1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</x:row>
    <x:row r="28" s="46" customFormat="1" ht="22.049999237060547" customHeight="1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</x:row>
    <x:row r="29" s="46" customFormat="1" ht="22.049999237060547" customHeight="1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</x:row>
    <x:row r="30" s="46" customFormat="1" ht="22.049999237060547" customHeight="1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</x:row>
  </x:sheetData>
  <x:pageMargins left="0.7" right="0.7" top="0.75" bottom="0.75" header="0.3" footer="0.3"/>
  <x:tableParts count="1">
    <x:tablePart xmlns:r="http://schemas.openxmlformats.org/officeDocument/2006/relationships" r:id="R97176126f218491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3.800000190734863"/>
  <x:cols>
    <x:col min="1" max="1" width="18" style="46" customWidth="1"/>
    <x:col min="2" max="2" width="92" style="46" customWidth="1"/>
  </x:cols>
  <x:sheetData>
    <x:row r="1" s="46" customFormat="1" ht="30" customHeight="1">
      <x:c r="A1" s="49" t="inlineStr">
        <x:is>
          <x:t xml:space="preserve">项目</x:t>
        </x:is>
      </x:c>
      <x:c r="B1" s="49" t="inlineStr">
        <x:is>
          <x:t xml:space="preserve">说明</x:t>
        </x:is>
      </x:c>
    </x:row>
    <x:row r="2" s="46" customFormat="1" ht="42" customHeight="1">
      <x:c r="A2" s="1" t="inlineStr">
        <x:is>
          <x:t xml:space="preserve">推荐入口</x:t>
        </x:is>
      </x:c>
      <x:c r="B2" s="2" t="inlineStr">
        <x:is>
          <x:t xml:space="preserve">先看“时间轴预览”页；到“配置 / 事件”页修改黄色单元格。</x:t>
        </x:is>
      </x:c>
    </x:row>
    <x:row r="3" s="46" customFormat="1" ht="42" customHeight="1">
      <x:c r="A3" s="3" t="inlineStr">
        <x:is>
          <x:t xml:space="preserve">生效方式</x:t>
        </x:is>
      </x:c>
      <x:c r="B3" s="4" t="inlineStr">
        <x:is>
          <x:t xml:space="preserve">保存并关闭工作簿后，重新开始本局或重新运行 run_3d.tscn；游戏启动时直接读取此文件。</x:t>
        </x:is>
      </x:c>
    </x:row>
    <x:row r="4" s="46" customFormat="1" ht="42" customHeight="1">
      <x:c r="A4" s="3" t="inlineStr">
        <x:is>
          <x:t xml:space="preserve">颜色含义</x:t>
        </x:is>
      </x:c>
      <x:c r="B4" s="4" t="inlineStr">
        <x:is>
          <x:t xml:space="preserve">黄色是人工输入；蓝色是联动公式；绿色是说明或分类。</x:t>
        </x:is>
      </x:c>
    </x:row>
    <x:row r="5" s="46" customFormat="1" ht="42" customHeight="1">
      <x:c r="A5" s="3" t="inlineStr">
        <x:is>
          <x:t xml:space="preserve">输入规则</x:t>
        </x:is>
      </x:c>
      <x:c r="B5" s="4" t="inlineStr">
        <x:is>
          <x:t xml:space="preserve">关键运行参数和事件路程进度必须填写常量，不要在黄色输入格使用公式。</x:t>
        </x:is>
      </x:c>
    </x:row>
    <x:row r="6" s="46" customFormat="1" ht="42" customHeight="1">
      <x:c r="A6" s="3" t="inlineStr">
        <x:is>
          <x:t xml:space="preserve">事件顺序</x:t>
        </x:is>
      </x:c>
      <x:c r="B6" s="4" t="inlineStr">
        <x:is>
          <x:t xml:space="preserve">事件按路程进度从小到大读取；路程进度范围为0～1，事件ID按现有支持项填写。</x:t>
        </x:is>
      </x:c>
    </x:row>
    <x:row r="7" s="46" customFormat="1" ht="42" customHeight="1">
      <x:c r="A7" s="3" t="inlineStr">
        <x:is>
          <x:t xml:space="preserve">预览范围</x:t>
        </x:is>
      </x:c>
      <x:c r="B7" s="4" t="inlineStr">
        <x:is>
          <x:t xml:space="preserve">三张曲线分别预览0～135秒、135～300秒和300～480秒；事件只显示路程进度，不换算成时间。</x:t>
        </x:is>
      </x:c>
    </x:row>
    <x:row r="8" s="46" customFormat="1" ht="42" customHeight="1">
      <x:c r="A8" s="3" t="inlineStr">
        <x:is>
          <x:t xml:space="preserve">失败回退</x:t>
        </x:is>
      </x:c>
      <x:c r="B8" s="4" t="inlineStr">
        <x:is>
          <x:t xml:space="preserve">文件缺失、结构不符或数据非法时，游戏使用 data/timelines/vertical_slice.tres 并打印警告。</x:t>
        </x:is>
      </x:c>
    </x:row>
    <x:row r="9" s="46" customFormat="1" ht="42" customHeight="1">
      <x:c r="A9" s="3" t="inlineStr">
        <x:is>
          <x:t xml:space="preserve">结构保护</x:t>
        </x:is>
      </x:c>
      <x:c r="B9" s="4" t="inlineStr">
        <x:is>
          <x:t xml:space="preserve">schema_id 与 schema_version=4 用于防止旧结构或错误工作簿被当作当前时间轴读取。</x:t>
        </x:is>
      </x:c>
    </x:row>
    <x:row r="10" s="46" customFormat="1" ht="42" customHeight="1">
      <x:c r="A10" s="5" t="inlineStr">
        <x:is>
          <x:t xml:space="preserve">临时文件</x:t>
        </x:is>
      </x:c>
      <x:c r="B10" s="6" t="inlineStr">
        <x:is>
          <x:t xml:space="preserve">Excel 打开时产生的 ~$*.xlsx 不会被游戏读取，也不应提交到 Git。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9acd607852742b9"/>
  </x:tableParts>
</x:worksheet>
</file>