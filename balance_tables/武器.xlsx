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武器预览" sheetId="1" state="visible" r:id="rId1"/>
    <sheet xmlns:r="http://schemas.openxmlformats.org/officeDocument/2006/relationships" name="武器" sheetId="2" state="visible" r:id="rId2"/>
    <sheet xmlns:r="http://schemas.openxmlformats.org/officeDocument/2006/relationships" name="衍生攻击" sheetId="3" state="visible" r:id="rId3"/>
    <sheet xmlns:r="http://schemas.openxmlformats.org/officeDocument/2006/relationships" name="配置" sheetId="4" state="visible" r:id="rId4"/>
    <sheet xmlns:r="http://schemas.openxmlformats.org/officeDocument/2006/relationships" name="说明" sheetId="5" state="visible" r:id="rId5"/>
  </sheets>
  <definedNames>
    <definedName name="_xlnm._FilterDatabase" localSheetId="2" hidden="1">'衍生攻击'!$A$1:$J$2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FFFFFF"/>
      <sz val="10"/>
    </font>
    <font>
      <name val="Carlito"/>
      <sz val="11"/>
    </font>
    <font>
      <name val="宋体"/>
      <charset val="134"/>
      <family val="3"/>
      <sz val="9"/>
    </font>
  </fonts>
  <fills count="8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</borders>
  <cellStyleXfs count="2">
    <xf numFmtId="0" fontId="5" fillId="0" borderId="0"/>
    <xf numFmtId="0" fontId="5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1">
      <alignment horizontal="center" vertical="center" wrapText="1"/>
    </xf>
    <xf numFmtId="0" fontId="2" fillId="0" borderId="1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0" fillId="5" borderId="0" pivotButton="0" quotePrefix="0" xfId="1"/>
    <xf numFmtId="0" fontId="2" fillId="6" borderId="1" applyAlignment="1" pivotButton="0" quotePrefix="0" xfId="1">
      <alignment vertical="center"/>
    </xf>
    <xf numFmtId="0" fontId="2" fillId="6" borderId="2" applyAlignment="1" pivotButton="0" quotePrefix="0" xfId="1">
      <alignment vertical="center"/>
    </xf>
    <xf numFmtId="0" fontId="2" fillId="6" borderId="3" applyAlignment="1" pivotButton="0" quotePrefix="0" xfId="1">
      <alignment vertical="center"/>
    </xf>
    <xf numFmtId="0" fontId="2" fillId="7" borderId="1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0" borderId="2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2" fontId="2" fillId="5" borderId="1" applyAlignment="1" pivotButton="0" quotePrefix="0" xfId="1">
      <alignment vertical="center"/>
    </xf>
    <xf numFmtId="2" fontId="2" fillId="5" borderId="2" applyAlignment="1" pivotButton="0" quotePrefix="0" xfId="1">
      <alignment vertical="center"/>
    </xf>
    <xf numFmtId="2" fontId="2" fillId="5" borderId="3" applyAlignment="1" pivotButton="0" quotePrefix="0" xfId="1">
      <alignment vertical="center"/>
    </xf>
    <xf numFmtId="2" fontId="2" fillId="7" borderId="1" applyAlignment="1" pivotButton="0" quotePrefix="0" xfId="1">
      <alignment vertical="center"/>
    </xf>
    <xf numFmtId="1" fontId="2" fillId="7" borderId="1" applyAlignment="1" pivotButton="0" quotePrefix="0" xfId="1">
      <alignment vertical="center"/>
    </xf>
    <xf numFmtId="2" fontId="2" fillId="7" borderId="2" applyAlignment="1" pivotButton="0" quotePrefix="0" xfId="1">
      <alignment vertical="center"/>
    </xf>
    <xf numFmtId="1" fontId="2" fillId="7" borderId="2" applyAlignment="1" pivotButton="0" quotePrefix="0" xfId="1">
      <alignment vertical="center"/>
    </xf>
    <xf numFmtId="2" fontId="2" fillId="7" borderId="3" applyAlignment="1" pivotButton="0" quotePrefix="0" xfId="1">
      <alignment vertical="center"/>
    </xf>
    <xf numFmtId="1" fontId="2" fillId="7" borderId="3" applyAlignment="1" pivotButton="0" quotePrefix="0" xfId="1">
      <alignment vertical="center"/>
    </xf>
    <xf numFmtId="0" fontId="1" fillId="2" borderId="0" applyAlignment="1" pivotButton="0" quotePrefix="0" xfId="1">
      <alignment vertical="center"/>
    </xf>
    <xf numFmtId="0" fontId="0" fillId="0" borderId="0" pivotButton="0" quotePrefix="0" xfId="0"/>
    <xf numFmtId="0" fontId="2" fillId="3" borderId="3" applyAlignment="1" pivotButton="0" quotePrefix="0" xfId="1">
      <alignment vertical="center"/>
    </xf>
    <xf numFmtId="0" fontId="0" fillId="0" borderId="3" pivotButton="0" quotePrefix="0" xfId="1"/>
    <xf numFmtId="0" fontId="2" fillId="3" borderId="2" applyAlignment="1" pivotButton="0" quotePrefix="0" xfId="1">
      <alignment vertical="center"/>
    </xf>
    <xf numFmtId="0" fontId="0" fillId="0" borderId="2" pivotButton="0" quotePrefix="0" xfId="1"/>
    <xf numFmtId="0" fontId="3" fillId="4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2" fillId="3" borderId="1" applyAlignment="1" pivotButton="0" quotePrefix="0" xfId="1">
      <alignment vertical="center"/>
    </xf>
    <xf numFmtId="0" fontId="0" fillId="0" borderId="1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/>
              <a:t>未强化理论每秒满足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理论每秒满足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武器预览!$I$7:$I$9</f>
              <strCache>
                <ptCount val="3"/>
                <pt idx="0">
                  <v>土豆</v>
                </pt>
                <pt idx="1">
                  <v>法棍</v>
                </pt>
                <pt idx="2">
                  <v>蘑菇</v>
                </pt>
              </strCache>
            </strRef>
          </cat>
          <val>
            <numRef>
              <f>武器预览!$J$7:$J$9</f>
              <numCache>
                <formatCode>General</formatCode>
                <ptCount val="3"/>
                <pt idx="0">
                  <v>12.5</v>
                </pt>
                <pt idx="1">
                  <v>10</v>
                </pt>
                <pt idx="2">
                  <v>16.66666666666667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0</colOff>
      <row>4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WeaponBalanceTable" displayName="WeaponBalanceTable" ref="A1:V4" headerRowCount="1" totalsRowShown="0">
  <tableColumns count="22">
    <tableColumn id="1" name="食材ID"/>
    <tableColumn id="2" name="显示名称"/>
    <tableColumn id="3" name="攻击类型"/>
    <tableColumn id="4" name="初始瞄准"/>
    <tableColumn id="5" name="初始追踪"/>
    <tableColumn id="6" name="基础满足"/>
    <tableColumn id="7" name="基础间隔(s)"/>
    <tableColumn id="8" name="弹速(px/s)"/>
    <tableColumn id="9" name="碰撞半径(px)"/>
    <tableColumn id="10" name="持续时间(s)"/>
    <tableColumn id="11" name="命中目标数"/>
    <tableColumn id="12" name="追踪转向速度"/>
    <tableColumn id="13" name="环绕半径(px)"/>
    <tableColumn id="14" name="环绕角速度(rad/s)"/>
    <tableColumn id="15" name="呼吸周期(s)"/>
    <tableColumn id="16" name="呼吸外圈倍率"/>
    <tableColumn id="17" name="颜色HEX"/>
    <tableColumn id="18" name="攻速强化倍率"/>
    <tableColumn id="19" name="酒强化倍率"/>
    <tableColumn id="20" name="范围强化倍率"/>
    <tableColumn id="21" name="持续强化倍率"/>
    <tableColumn id="22" name="寻敌半角(°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xiaochuxi_weapons_config" displayName="xiaochuxi_weapons_config" ref="A1:C3" headerRowCount="1" totalsRowShown="0">
  <tableColumns count="3">
    <tableColumn id="1" name="参数ID"/>
    <tableColumn id="2" name="数值"/>
    <tableColumn id="3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eaponNotesTable" displayName="WeaponNotesTable" ref="A1:B6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selection activeCell="A1" sqref="A1:N1"/>
    </sheetView>
  </sheetViews>
  <sheetFormatPr baseColWidth="8" defaultRowHeight="13.8"/>
  <cols>
    <col width="18" customWidth="1" style="27" min="1" max="1"/>
    <col width="16" customWidth="1" style="27" min="2" max="2"/>
    <col width="18" customWidth="1" style="27" min="3" max="3"/>
    <col width="20" customWidth="1" style="27" min="4" max="4"/>
    <col width="18" customWidth="1" style="27" min="5" max="5"/>
    <col width="16" customWidth="1" style="27" min="6" max="6"/>
    <col width="24" customWidth="1" style="27" min="7" max="7"/>
    <col width="4" customWidth="1" style="27" min="8" max="8"/>
    <col width="16" customWidth="1" style="27" min="9" max="9"/>
    <col width="18" customWidth="1" style="27" min="10" max="10"/>
    <col width="12" customWidth="1" style="27" min="11" max="14"/>
  </cols>
  <sheetData>
    <row r="1" ht="37.95" customHeight="1" s="27">
      <c r="A1" s="26" t="inlineStr">
        <is>
          <t>小厨西 · 武器数值预览</t>
        </is>
      </c>
    </row>
    <row r="2">
      <c r="A2" s="33" t="inlineStr">
        <is>
          <t>本页由“武器”页黄色数值自动计算。理论每秒满足仅用于横向比较，不包含等级、普通强化、加量、穿透、目标数量与实战空窗。</t>
        </is>
      </c>
    </row>
    <row r="3"/>
    <row r="5" ht="28.05" customHeight="1" s="27">
      <c r="A5" s="32" t="inlineStr">
        <is>
          <t>基础输出与射程对比</t>
        </is>
      </c>
    </row>
    <row r="6" ht="30" customHeight="1" s="27">
      <c r="A6" s="1" t="inlineStr">
        <is>
          <t>食材</t>
        </is>
      </c>
      <c r="B6" s="1" t="inlineStr">
        <is>
          <t>基础满足</t>
        </is>
      </c>
      <c r="C6" s="1" t="inlineStr">
        <is>
          <t>基础间隔(s)</t>
        </is>
      </c>
      <c r="D6" s="1" t="inlineStr">
        <is>
          <t>理论每秒满足</t>
        </is>
      </c>
      <c r="E6" s="1" t="inlineStr">
        <is>
          <t>基础射程(px)</t>
        </is>
      </c>
      <c r="F6" s="1" t="inlineStr">
        <is>
          <t>命中目标数</t>
        </is>
      </c>
      <c r="G6" s="1" t="inlineStr">
        <is>
          <t>攻击类型</t>
        </is>
      </c>
      <c r="I6" s="1" t="inlineStr">
        <is>
          <t>食材</t>
        </is>
      </c>
      <c r="J6" s="1" t="inlineStr">
        <is>
          <t>理论每秒满足</t>
        </is>
      </c>
    </row>
    <row r="7" ht="15" customHeight="1" s="27">
      <c r="A7" s="4">
        <f>武器!B2</f>
        <v/>
      </c>
      <c r="B7" s="17">
        <f>武器!F2</f>
        <v/>
      </c>
      <c r="C7" s="17">
        <f>武器!G2</f>
        <v/>
      </c>
      <c r="D7" s="17">
        <f>B7/C7</f>
        <v/>
      </c>
      <c r="E7" s="17">
        <f>武器!H2*武器!J2</f>
        <v/>
      </c>
      <c r="F7" s="4">
        <f>武器!K2</f>
        <v/>
      </c>
      <c r="G7" s="4">
        <f>武器!C2</f>
        <v/>
      </c>
      <c r="I7" s="7">
        <f>A7</f>
        <v/>
      </c>
      <c r="J7" s="7">
        <f>D7</f>
        <v/>
      </c>
    </row>
    <row r="8" ht="15" customHeight="1" s="27">
      <c r="A8" s="5">
        <f>武器!B3</f>
        <v/>
      </c>
      <c r="B8" s="18">
        <f>武器!F3</f>
        <v/>
      </c>
      <c r="C8" s="18">
        <f>武器!G3</f>
        <v/>
      </c>
      <c r="D8" s="18">
        <f>B8/C8</f>
        <v/>
      </c>
      <c r="E8" s="18">
        <f>武器!H3*武器!J3</f>
        <v/>
      </c>
      <c r="F8" s="5">
        <f>武器!K3</f>
        <v/>
      </c>
      <c r="G8" s="5">
        <f>武器!C3</f>
        <v/>
      </c>
      <c r="I8" s="7">
        <f>A8</f>
        <v/>
      </c>
      <c r="J8" s="7">
        <f>D8</f>
        <v/>
      </c>
    </row>
    <row r="9" ht="15" customHeight="1" s="27">
      <c r="A9" s="6">
        <f>武器!B4</f>
        <v/>
      </c>
      <c r="B9" s="19">
        <f>武器!F4</f>
        <v/>
      </c>
      <c r="C9" s="19">
        <f>武器!G4</f>
        <v/>
      </c>
      <c r="D9" s="19">
        <f>B9/C9</f>
        <v/>
      </c>
      <c r="E9" s="19">
        <f>武器!H4*武器!J4</f>
        <v/>
      </c>
      <c r="F9" s="6">
        <f>武器!K4</f>
        <v/>
      </c>
      <c r="G9" s="6">
        <f>武器!C4</f>
        <v/>
      </c>
      <c r="I9" s="7">
        <f>A9</f>
        <v/>
      </c>
      <c r="J9" s="7">
        <f>D9</f>
        <v/>
      </c>
    </row>
    <row r="12" ht="28.05" customHeight="1" s="27">
      <c r="A12" s="32" t="inlineStr">
        <is>
          <t>调参提醒</t>
        </is>
      </c>
    </row>
    <row r="13" ht="31.95" customHeight="1" s="27">
      <c r="A13" s="8" t="inlineStr">
        <is>
          <t>满足与间隔</t>
        </is>
      </c>
      <c r="B13" s="34" t="inlineStr">
        <is>
          <t>两者共同决定单目标基础输出；间隔还会受到快速备餐影响。</t>
        </is>
      </c>
      <c r="C13" s="36" t="n"/>
      <c r="D13" s="36" t="n"/>
      <c r="E13" s="36" t="n"/>
      <c r="F13" s="36" t="n"/>
      <c r="G13" s="36" t="n"/>
    </row>
    <row r="14" ht="31.95" customHeight="1" s="27">
      <c r="A14" s="9" t="inlineStr">
        <is>
          <t>弹速与持续</t>
        </is>
      </c>
      <c r="B14" s="30" t="inlineStr">
        <is>
          <t>投射武器基础射程等于弹速乘持续时间；酒和淀粉会分别继续放大。</t>
        </is>
      </c>
      <c r="C14" s="37" t="n"/>
      <c r="D14" s="37" t="n"/>
      <c r="E14" s="37" t="n"/>
      <c r="F14" s="37" t="n"/>
      <c r="G14" s="37" t="n"/>
    </row>
    <row r="15" ht="31.95" customHeight="1" s="27">
      <c r="A15" s="9" t="inlineStr">
        <is>
          <t>命中目标数</t>
        </is>
      </c>
      <c r="B15" s="30" t="inlineStr">
        <is>
          <t>表示未获得酱油时单份攻击最多命中的不同目标数量。</t>
        </is>
      </c>
      <c r="C15" s="37" t="n"/>
      <c r="D15" s="37" t="n"/>
      <c r="E15" s="37" t="n"/>
      <c r="F15" s="37" t="n"/>
      <c r="G15" s="37" t="n"/>
    </row>
    <row r="16" ht="31.95" customHeight="1" s="27">
      <c r="A16" s="10" t="inlineStr">
        <is>
          <t>环绕参数</t>
        </is>
      </c>
      <c r="B16" s="28" t="inlineStr">
        <is>
          <t>只对环绕武器生效；呼吸周期和外圈倍率在获得对应特殊强化后使用。</t>
        </is>
      </c>
      <c r="C16" s="38" t="n"/>
      <c r="D16" s="38" t="n"/>
      <c r="E16" s="38" t="n"/>
      <c r="F16" s="38" t="n"/>
      <c r="G16" s="38" t="n"/>
    </row>
  </sheetData>
  <mergeCells count="8">
    <mergeCell ref="B16:G16"/>
    <mergeCell ref="B14:G14"/>
    <mergeCell ref="A12:G12"/>
    <mergeCell ref="A2:N3"/>
    <mergeCell ref="B13:G13"/>
    <mergeCell ref="A5:N5"/>
    <mergeCell ref="B15:G15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showGridLines="0" tabSelected="1" workbookViewId="0">
      <selection activeCell="G4" sqref="G4"/>
    </sheetView>
  </sheetViews>
  <sheetFormatPr baseColWidth="8" defaultRowHeight="13.8"/>
  <cols>
    <col width="18" customWidth="1" style="27" min="1" max="1"/>
    <col width="16" customWidth="1" style="27" min="2" max="2"/>
    <col width="24" customWidth="1" style="27" min="3" max="3"/>
    <col width="20" customWidth="1" style="27" min="4" max="4"/>
    <col width="18" customWidth="1" style="27" min="5" max="5"/>
    <col width="14" customWidth="1" style="27" min="6" max="6"/>
    <col width="16" customWidth="1" style="27" min="7" max="8"/>
    <col width="18" customWidth="1" style="27" min="9" max="9"/>
    <col width="16" customWidth="1" style="27" min="10" max="11"/>
    <col width="18" customWidth="1" style="27" min="12" max="13"/>
    <col width="22" customWidth="1" style="27" min="14" max="14"/>
    <col width="18" customWidth="1" style="27" min="15" max="15"/>
    <col width="20" customWidth="1" style="27" min="16" max="16"/>
    <col width="16" customWidth="1" style="27" min="17" max="21"/>
    <col width="13" customWidth="1" style="27" min="21" max="21"/>
    <col width="13" customWidth="1" style="27" min="22" max="22"/>
  </cols>
  <sheetData>
    <row r="1" ht="30" customHeight="1" s="27">
      <c r="A1" s="1" t="inlineStr">
        <is>
          <t>食材ID</t>
        </is>
      </c>
      <c r="B1" s="1" t="inlineStr">
        <is>
          <t>显示名称</t>
        </is>
      </c>
      <c r="C1" s="1" t="inlineStr">
        <is>
          <t>攻击类型</t>
        </is>
      </c>
      <c r="D1" s="1" t="inlineStr">
        <is>
          <t>初始瞄准</t>
        </is>
      </c>
      <c r="E1" s="1" t="inlineStr">
        <is>
          <t>初始追踪</t>
        </is>
      </c>
      <c r="F1" s="1" t="inlineStr">
        <is>
          <t>基础满足</t>
        </is>
      </c>
      <c r="G1" s="1" t="inlineStr">
        <is>
          <t>基础间隔(s)</t>
        </is>
      </c>
      <c r="H1" s="1" t="inlineStr">
        <is>
          <t>弹速(px/s)</t>
        </is>
      </c>
      <c r="I1" s="1" t="inlineStr">
        <is>
          <t>碰撞半径(px)</t>
        </is>
      </c>
      <c r="J1" s="1" t="inlineStr">
        <is>
          <t>持续时间(s)</t>
        </is>
      </c>
      <c r="K1" s="1" t="inlineStr">
        <is>
          <t>命中目标数</t>
        </is>
      </c>
      <c r="L1" s="1" t="inlineStr">
        <is>
          <t>追踪转向速度</t>
        </is>
      </c>
      <c r="M1" s="1" t="inlineStr">
        <is>
          <t>环绕半径(px)</t>
        </is>
      </c>
      <c r="N1" s="1" t="inlineStr">
        <is>
          <t>环绕角速度(rad/s)</t>
        </is>
      </c>
      <c r="O1" s="1" t="inlineStr">
        <is>
          <t>呼吸周期(s)</t>
        </is>
      </c>
      <c r="P1" s="1" t="inlineStr">
        <is>
          <t>呼吸外圈倍率</t>
        </is>
      </c>
      <c r="Q1" s="1" t="inlineStr">
        <is>
          <t>颜色HEX</t>
        </is>
      </c>
      <c r="R1" s="1" t="inlineStr">
        <is>
          <t>攻速强化倍率</t>
        </is>
      </c>
      <c r="S1" s="1" t="inlineStr">
        <is>
          <t>酒强化倍率</t>
        </is>
      </c>
      <c r="T1" s="1" t="inlineStr">
        <is>
          <t>范围强化倍率</t>
        </is>
      </c>
      <c r="U1" s="1" t="inlineStr">
        <is>
          <t>持续强化倍率</t>
        </is>
      </c>
      <c r="V1" s="1" t="inlineStr">
        <is>
          <t>寻敌半角(°)</t>
        </is>
      </c>
    </row>
    <row r="2" ht="15" customHeight="1" s="27">
      <c r="A2" s="8" t="inlineStr">
        <is>
          <t>potato</t>
        </is>
      </c>
      <c r="B2" s="8" t="inlineStr">
        <is>
          <t>土豆</t>
        </is>
      </c>
      <c r="C2" s="8" t="inlineStr">
        <is>
          <t>projectile</t>
        </is>
      </c>
      <c r="D2" s="8" t="inlineStr">
        <is>
          <t>fixed_forward</t>
        </is>
      </c>
      <c r="E2" s="8" t="inlineStr">
        <is>
          <t>none</t>
        </is>
      </c>
      <c r="F2" s="20" t="n">
        <v>10</v>
      </c>
      <c r="G2" s="20" t="n">
        <v>0.8</v>
      </c>
      <c r="H2" s="20" t="n">
        <v>680</v>
      </c>
      <c r="I2" s="20" t="n">
        <v>17</v>
      </c>
      <c r="J2" s="20" t="n">
        <v>1.3473684</v>
      </c>
      <c r="K2" s="21" t="n">
        <v>1</v>
      </c>
      <c r="L2" s="20" t="n">
        <v>4.5</v>
      </c>
      <c r="M2" s="20" t="n">
        <v>120</v>
      </c>
      <c r="N2" s="20" t="n">
        <v>3.2</v>
      </c>
      <c r="O2" s="20" t="n">
        <v>1.2</v>
      </c>
      <c r="P2" s="20" t="n">
        <v>2</v>
      </c>
      <c r="Q2" s="11" t="inlineStr">
        <is>
          <t>#E3B54A</t>
        </is>
      </c>
      <c r="R2" s="20" t="n">
        <v>1</v>
      </c>
      <c r="S2" s="20" t="n">
        <v>0.35</v>
      </c>
      <c r="T2" s="20" t="n">
        <v>1</v>
      </c>
      <c r="U2" s="20" t="n">
        <v>0.2</v>
      </c>
      <c r="V2" s="20" t="n">
        <v>90</v>
      </c>
    </row>
    <row r="3" ht="15" customHeight="1" s="27">
      <c r="A3" s="9" t="inlineStr">
        <is>
          <t>baguette</t>
        </is>
      </c>
      <c r="B3" s="9" t="inlineStr">
        <is>
          <t>法棍</t>
        </is>
      </c>
      <c r="C3" s="9" t="inlineStr">
        <is>
          <t>piercing_projectile</t>
        </is>
      </c>
      <c r="D3" s="9" t="inlineStr">
        <is>
          <t>target_snapshot</t>
        </is>
      </c>
      <c r="E3" s="9" t="inlineStr">
        <is>
          <t>none</t>
        </is>
      </c>
      <c r="F3" s="22" t="n">
        <v>10</v>
      </c>
      <c r="G3" s="22" t="n">
        <v>1</v>
      </c>
      <c r="H3" s="22" t="n">
        <v>2000</v>
      </c>
      <c r="I3" s="22" t="n">
        <v>14</v>
      </c>
      <c r="J3" s="22" t="n">
        <v>0.5</v>
      </c>
      <c r="K3" s="23" t="n">
        <v>3</v>
      </c>
      <c r="L3" s="22" t="n">
        <v>4.5</v>
      </c>
      <c r="M3" s="22" t="n">
        <v>120</v>
      </c>
      <c r="N3" s="22" t="n">
        <v>3.2</v>
      </c>
      <c r="O3" s="22" t="n">
        <v>1.2</v>
      </c>
      <c r="P3" s="22" t="n">
        <v>2</v>
      </c>
      <c r="Q3" s="12" t="inlineStr">
        <is>
          <t>#D97A2E</t>
        </is>
      </c>
      <c r="R3" s="20" t="n">
        <v>1</v>
      </c>
      <c r="S3" s="20" t="n">
        <v>0.35</v>
      </c>
      <c r="T3" s="20" t="n">
        <v>1</v>
      </c>
      <c r="U3" s="20" t="n">
        <v>0.25</v>
      </c>
      <c r="V3" s="20" t="n">
        <v>30</v>
      </c>
    </row>
    <row r="4" ht="15" customHeight="1" s="27">
      <c r="A4" s="10" t="inlineStr">
        <is>
          <t>mushroom</t>
        </is>
      </c>
      <c r="B4" s="10" t="inlineStr">
        <is>
          <t>蘑菇</t>
        </is>
      </c>
      <c r="C4" s="10" t="inlineStr">
        <is>
          <t>orbiting_mushroom</t>
        </is>
      </c>
      <c r="D4" s="10" t="inlineStr">
        <is>
          <t>fixed_forward</t>
        </is>
      </c>
      <c r="E4" s="10" t="inlineStr">
        <is>
          <t>none</t>
        </is>
      </c>
      <c r="F4" s="24" t="n">
        <v>10</v>
      </c>
      <c r="G4" s="24" t="n">
        <v>0.6</v>
      </c>
      <c r="H4" s="24" t="n">
        <v>0</v>
      </c>
      <c r="I4" s="24" t="n">
        <v>22</v>
      </c>
      <c r="J4" s="24" t="n">
        <v>4</v>
      </c>
      <c r="K4" s="25" t="n">
        <v>1</v>
      </c>
      <c r="L4" s="24" t="n">
        <v>4.5</v>
      </c>
      <c r="M4" s="24" t="n">
        <v>100</v>
      </c>
      <c r="N4" s="24" t="n">
        <v>3.2</v>
      </c>
      <c r="O4" s="24" t="n">
        <v>1.2</v>
      </c>
      <c r="P4" s="24" t="n">
        <v>2</v>
      </c>
      <c r="Q4" s="13" t="inlineStr">
        <is>
          <t>#73A84F</t>
        </is>
      </c>
      <c r="R4" s="20" t="n">
        <v>1</v>
      </c>
      <c r="S4" s="20" t="n">
        <v>1</v>
      </c>
      <c r="T4" s="20" t="n">
        <v>0.5</v>
      </c>
      <c r="U4" s="20" t="n">
        <v>0.15</v>
      </c>
      <c r="V4" s="20" t="n">
        <v>90</v>
      </c>
    </row>
  </sheetData>
  <dataValidations count="3">
    <dataValidation sqref="C2:C4" showDropDown="0" showInputMessage="0" showErrorMessage="0" allowBlank="0" type="list">
      <formula1>"projectile,piercing_projectile,orbiting_mushroom"</formula1>
    </dataValidation>
    <dataValidation sqref="D2:D4" showDropDown="0" showInputMessage="0" showErrorMessage="0" allowBlank="0" type="list">
      <formula1>"fixed_forward,target_snapshot"</formula1>
    </dataValidation>
    <dataValidation sqref="E2:E4" showDropDown="0" showInputMessage="0" showErrorMessage="0" allowBlank="0" type="list">
      <formula1>"none,homing"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J2" sqref="J2"/>
    </sheetView>
  </sheetViews>
  <sheetFormatPr baseColWidth="8" defaultRowHeight="13.8"/>
  <cols>
    <col width="24" customWidth="1" style="27" min="1" max="1"/>
    <col width="18" customWidth="1" style="27" min="2" max="2"/>
    <col width="16" customWidth="1" style="27" min="3" max="3"/>
    <col width="18" customWidth="1" style="27" min="4" max="4"/>
    <col width="16" customWidth="1" style="27" min="5" max="7"/>
    <col width="14" customWidth="1" style="27" min="8" max="9"/>
    <col width="10" customWidth="1" style="27" min="10" max="10"/>
  </cols>
  <sheetData>
    <row r="1" ht="30" customHeight="1" s="27">
      <c r="A1" s="1" t="inlineStr">
        <is>
          <t>配置ID</t>
        </is>
      </c>
      <c r="B1" s="1" t="inlineStr">
        <is>
          <t>来源食材ID</t>
        </is>
      </c>
      <c r="C1" s="1" t="inlineStr">
        <is>
          <t>基础间隔(s)</t>
        </is>
      </c>
      <c r="D1" s="1" t="inlineStr">
        <is>
          <t>攻速强化倍率</t>
        </is>
      </c>
      <c r="E1" s="1" t="inlineStr">
        <is>
          <t>最小间隔(s)</t>
        </is>
      </c>
      <c r="F1" s="1" t="inlineStr">
        <is>
          <t>宽度区域数</t>
        </is>
      </c>
      <c r="G1" s="1" t="inlineStr">
        <is>
          <t>命中目标数</t>
        </is>
      </c>
      <c r="H1" s="1" t="inlineStr">
        <is>
          <t>持续倍率</t>
        </is>
      </c>
      <c r="I1" s="1" t="inlineStr">
        <is>
          <t>满足倍率</t>
        </is>
      </c>
      <c r="J1" s="1" t="inlineStr">
        <is>
          <t>启用</t>
        </is>
      </c>
    </row>
    <row r="2" ht="15" customHeight="1" s="27">
      <c r="A2" s="8" t="inlineStr">
        <is>
          <t>baguette_giant</t>
        </is>
      </c>
      <c r="B2" s="8" t="inlineStr">
        <is>
          <t>baguette</t>
        </is>
      </c>
      <c r="C2" s="20" t="n">
        <v>3</v>
      </c>
      <c r="D2" s="20" t="n">
        <v>0.05</v>
      </c>
      <c r="E2" s="20" t="n">
        <v>1</v>
      </c>
      <c r="F2" s="20" t="n">
        <v>4</v>
      </c>
      <c r="G2" s="20" t="n">
        <v>999</v>
      </c>
      <c r="H2" s="20" t="n">
        <v>1.5</v>
      </c>
      <c r="I2" s="20" t="n">
        <v>3</v>
      </c>
      <c r="J2" s="20" t="n">
        <v>1</v>
      </c>
    </row>
  </sheetData>
  <autoFilter ref="A1:J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3.8"/>
  <cols>
    <col width="30" customWidth="1" style="27" min="1" max="1"/>
    <col width="34" customWidth="1" style="27" min="2" max="2"/>
    <col width="48" customWidth="1" style="27" min="3" max="3"/>
  </cols>
  <sheetData>
    <row r="1" ht="30" customHeight="1" s="27">
      <c r="A1" s="1" t="inlineStr">
        <is>
          <t>参数ID</t>
        </is>
      </c>
      <c r="B1" s="1" t="inlineStr">
        <is>
          <t>数值</t>
        </is>
      </c>
      <c r="C1" s="1" t="inlineStr">
        <is>
          <t>说明</t>
        </is>
      </c>
    </row>
    <row r="2" ht="15" customHeight="1" s="27">
      <c r="A2" s="2" t="inlineStr">
        <is>
          <t>schema_id</t>
        </is>
      </c>
      <c r="B2" s="8" t="inlineStr">
        <is>
          <t>xiaochuxi.weapons</t>
        </is>
      </c>
      <c r="C2" s="2" t="inlineStr">
        <is>
          <t>武器表结构标识，请勿修改</t>
        </is>
      </c>
    </row>
    <row r="3" ht="15" customHeight="1" s="27">
      <c r="A3" s="3" t="inlineStr">
        <is>
          <t>schema_version</t>
        </is>
      </c>
      <c r="B3" s="10" t="n">
        <v>2</v>
      </c>
      <c r="C3" s="3" t="inlineStr">
        <is>
          <t>结构版本，请勿修改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3.8"/>
  <cols>
    <col width="20" customWidth="1" style="27" min="1" max="1"/>
    <col width="94" customWidth="1" style="27" min="2" max="2"/>
  </cols>
  <sheetData>
    <row r="1" ht="30" customHeight="1" s="27">
      <c r="A1" s="1" t="inlineStr">
        <is>
          <t>项目</t>
        </is>
      </c>
      <c r="B1" s="1" t="inlineStr">
        <is>
          <t>说明</t>
        </is>
      </c>
    </row>
    <row r="2" ht="42" customHeight="1" s="27">
      <c r="A2" s="8" t="inlineStr">
        <is>
          <t>生效方式</t>
        </is>
      </c>
      <c r="B2" s="14" t="inlineStr">
        <is>
          <t>保存并关闭工作簿后，重新开始本局或重新运行 run_3d.tscn。运行中的既有单局不会热替换武器。</t>
        </is>
      </c>
    </row>
    <row r="3" ht="42" customHeight="1" s="27">
      <c r="A3" s="9" t="inlineStr">
        <is>
          <t>输入颜色</t>
        </is>
      </c>
      <c r="B3" s="15" t="inlineStr">
        <is>
          <t>黄色是常用数值输入；绿色是标识和枚举字段，只有确认调用关系后再修改。</t>
        </is>
      </c>
    </row>
    <row r="4" ht="42" customHeight="1" s="27">
      <c r="A4" s="9" t="inlineStr">
        <is>
          <t>范围关系</t>
        </is>
      </c>
      <c r="B4" s="15" t="inlineStr">
        <is>
          <t>投射武器射程由弹速 × 持续时间决定；环绕武器主要读取环绕半径和角速度。</t>
        </is>
      </c>
    </row>
    <row r="5" ht="42" customHeight="1" s="27">
      <c r="A5" s="9" t="inlineStr">
        <is>
          <t>结构限制</t>
        </is>
      </c>
      <c r="B5" s="15" t="inlineStr">
        <is>
          <t>新增食材或衍生攻击行只提供数值，不会自动生成正式模型、动画或新的特殊强化卡。</t>
        </is>
      </c>
    </row>
    <row r="6" ht="42" customHeight="1" s="27">
      <c r="A6" s="10" t="inlineStr">
        <is>
          <t>失败回退</t>
        </is>
      </c>
      <c r="B6" s="16" t="inlineStr">
        <is>
          <t>文件缺失、字段非法或结构不匹配时，游戏使用 scenes/run_3d.tscn 中装配的 data/foods/*.tres。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2026-07-28T16:59:18Z</dcterms:created>
  <dcterms:modified xmlns:dcterms="http://purl.org/dc/terms/" xmlns:xsi="http://www.w3.org/2001/XMLSchema-instance" xsi:type="dcterms:W3CDTF">2026-07-29T17:05:33Z</dcterms:modified>
  <cp:lastModifiedBy>塔</cp:lastModifiedBy>
</cp:coreProperties>
</file>