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gameproduct\小厨西\balance_tables\"/>
    </mc:Choice>
  </mc:AlternateContent>
  <xr:revisionPtr revIDLastSave="0" documentId="13_ncr:1_{4EE6B1B5-40BA-4956-8479-815C880C0025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武器预览" sheetId="1" r:id="rId1"/>
    <sheet name="武器" sheetId="2" r:id="rId2"/>
    <sheet name="衍生攻击" sheetId="3" r:id="rId3"/>
    <sheet name="配置" sheetId="4" r:id="rId4"/>
    <sheet name="说明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1" i="1" l="1"/>
  <c r="F11" i="1"/>
  <c r="E11" i="1"/>
  <c r="H11" i="1" s="1"/>
  <c r="C11" i="1"/>
  <c r="D11" i="1" s="1"/>
  <c r="J11" i="1" s="1"/>
  <c r="B11" i="1"/>
  <c r="A11" i="1"/>
  <c r="I11" i="1" s="1"/>
  <c r="I10" i="1"/>
  <c r="G10" i="1"/>
  <c r="F10" i="1"/>
  <c r="E10" i="1"/>
  <c r="H10" i="1" s="1"/>
  <c r="C10" i="1"/>
  <c r="B10" i="1"/>
  <c r="D10" i="1" s="1"/>
  <c r="J10" i="1" s="1"/>
  <c r="A10" i="1"/>
  <c r="G9" i="1"/>
  <c r="F9" i="1"/>
  <c r="E9" i="1"/>
  <c r="H9" i="1" s="1"/>
  <c r="D9" i="1"/>
  <c r="J9" i="1" s="1"/>
  <c r="C9" i="1"/>
  <c r="B9" i="1"/>
  <c r="A9" i="1"/>
  <c r="I9" i="1" s="1"/>
  <c r="I8" i="1"/>
  <c r="G8" i="1"/>
  <c r="F8" i="1"/>
  <c r="E8" i="1"/>
  <c r="H8" i="1" s="1"/>
  <c r="C8" i="1"/>
  <c r="B8" i="1"/>
  <c r="D8" i="1" s="1"/>
  <c r="J8" i="1" s="1"/>
  <c r="A8" i="1"/>
  <c r="I7" i="1"/>
  <c r="H7" i="1"/>
  <c r="G7" i="1"/>
  <c r="F7" i="1"/>
  <c r="E7" i="1"/>
  <c r="C7" i="1"/>
  <c r="D7" i="1" s="1"/>
  <c r="J7" i="1" s="1"/>
  <c r="B7" i="1"/>
  <c r="A7" i="1"/>
</calcChain>
</file>

<file path=xl/sharedStrings.xml><?xml version="1.0" encoding="utf-8"?>
<sst xmlns="http://schemas.openxmlformats.org/spreadsheetml/2006/main" count="111" uniqueCount="91">
  <si>
    <t>小厨西 · 武器数值预览</t>
  </si>
  <si>
    <t>本页由“武器”页黄色数值自动计算。射程按1280px设计高度换算；投射物取弹速×持续，蘑菇取未强化完整生命周期内最大环绕半径。理论DPS=基础满足÷基础间隔，不计算穿透、等级、强化、加量、目标数量与实战空窗。</t>
  </si>
  <si>
    <t>射程换算屏高(px)</t>
  </si>
  <si>
    <t>基础输出与射程对比</t>
  </si>
  <si>
    <t>食材</t>
  </si>
  <si>
    <t>基础满足</t>
  </si>
  <si>
    <t>基础间隔(s)</t>
  </si>
  <si>
    <t>理论每秒满足</t>
  </si>
  <si>
    <t>基础射程(px)</t>
  </si>
  <si>
    <t>命中目标数</t>
  </si>
  <si>
    <t>攻击类型</t>
  </si>
  <si>
    <t>射程(x屏)</t>
  </si>
  <si>
    <t>调参提醒</t>
  </si>
  <si>
    <t>满足与间隔</t>
  </si>
  <si>
    <t>两者共同决定单目标基础输出；间隔还会受到快速备餐影响。</t>
  </si>
  <si>
    <t>弹速与持续</t>
  </si>
  <si>
    <t>投射武器基础射程等于弹速乘持续时间；酒和淀粉会分别继续放大。</t>
  </si>
  <si>
    <t>表示未获得酱油时单份攻击最多命中的不同目标数量。</t>
  </si>
  <si>
    <t>环绕参数</t>
  </si>
  <si>
    <t>射程按无强化生命周期推算：锁定1倍半径处切向线速；半径每档+0.5倍，驻留按1/2/4/8圈翻倍，再用1圈扩张；不计呼吸外圈。</t>
  </si>
  <si>
    <t>食材ID</t>
  </si>
  <si>
    <t>显示名称</t>
  </si>
  <si>
    <t>初始瞄准</t>
  </si>
  <si>
    <t>初始追踪</t>
  </si>
  <si>
    <t>弹速(px/s)</t>
  </si>
  <si>
    <t>碰撞半径(px)</t>
  </si>
  <si>
    <t>持续时间(s)</t>
  </si>
  <si>
    <t>追踪转向速度</t>
  </si>
  <si>
    <t>环绕半径(px)</t>
  </si>
  <si>
    <t>环绕角速度(rad/s)</t>
  </si>
  <si>
    <t>呼吸周期(s)</t>
  </si>
  <si>
    <t>呼吸外圈倍率</t>
  </si>
  <si>
    <t>颜色HEX</t>
  </si>
  <si>
    <t>攻速强化倍率</t>
  </si>
  <si>
    <t>酒强化倍率</t>
  </si>
  <si>
    <t>范围强化倍率</t>
  </si>
  <si>
    <t>持续强化倍率</t>
  </si>
  <si>
    <t>寻敌半角(°)</t>
  </si>
  <si>
    <t>扫掠半径(px)</t>
  </si>
  <si>
    <t>扫掠角度(°)</t>
  </si>
  <si>
    <t>potato</t>
  </si>
  <si>
    <t>土豆</t>
  </si>
  <si>
    <t>projectile</t>
  </si>
  <si>
    <t>fixed_forward</t>
  </si>
  <si>
    <t>none</t>
  </si>
  <si>
    <t>#E3B54A</t>
  </si>
  <si>
    <t>baguette</t>
  </si>
  <si>
    <t>法棍</t>
  </si>
  <si>
    <t>piercing_projectile</t>
  </si>
  <si>
    <t>target_snapshot</t>
  </si>
  <si>
    <t>#D97A2E</t>
  </si>
  <si>
    <t>mushroom</t>
  </si>
  <si>
    <t>蘑菇</t>
  </si>
  <si>
    <t>orbiting_mushroom</t>
  </si>
  <si>
    <t>#73A84F</t>
  </si>
  <si>
    <t>egg</t>
  </si>
  <si>
    <t>鸡蛋</t>
  </si>
  <si>
    <t>egg_projectile</t>
  </si>
  <si>
    <t>#F1D27A</t>
  </si>
  <si>
    <t>carrot</t>
  </si>
  <si>
    <t>胡萝卜</t>
  </si>
  <si>
    <t>carrot_sweep</t>
  </si>
  <si>
    <t>#E95B21</t>
  </si>
  <si>
    <t>配置ID</t>
  </si>
  <si>
    <t>来源食材ID</t>
  </si>
  <si>
    <t>最小间隔(s)</t>
  </si>
  <si>
    <t>宽度区域数</t>
  </si>
  <si>
    <t>持续倍率</t>
  </si>
  <si>
    <t>满足倍率</t>
  </si>
  <si>
    <t>启用</t>
  </si>
  <si>
    <t>baguette_giant</t>
  </si>
  <si>
    <t>egg_puddle</t>
  </si>
  <si>
    <t>参数ID</t>
  </si>
  <si>
    <t>数值</t>
  </si>
  <si>
    <t>说明</t>
  </si>
  <si>
    <t>schema_id</t>
  </si>
  <si>
    <t>xiaochuxi.weapons</t>
  </si>
  <si>
    <t>武器表结构标识，请勿修改</t>
  </si>
  <si>
    <t>schema_version</t>
  </si>
  <si>
    <t>结构版本，请勿修改</t>
  </si>
  <si>
    <t>项目</t>
  </si>
  <si>
    <t>生效方式</t>
  </si>
  <si>
    <t>保存并关闭工作簿后，重新开始本局或重新运行 run_3d.tscn。运行中的既有单局不会热替换武器。</t>
  </si>
  <si>
    <t>输入颜色</t>
  </si>
  <si>
    <t>黄色是常用数值输入；绿色是标识和枚举字段，只有确认调用关系后再修改。</t>
  </si>
  <si>
    <t>范围关系</t>
  </si>
  <si>
    <t>投射武器射程由弹速 × 持续时间决定；环绕武器主要读取环绕半径和角速度。</t>
  </si>
  <si>
    <t>结构限制</t>
  </si>
  <si>
    <t>新增食材或衍生攻击行只提供数值，不会自动生成正式模型、动画或新的特殊强化卡。</t>
  </si>
  <si>
    <t>失败回退</t>
  </si>
  <si>
    <t>文件缺失、字段非法或结构不匹配时，游戏使用 scenes/run_3d.tscn 中装配的 data/foods/*.tres。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</si>
</sst>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&quot; px&quot;"/>
    <numFmt numFmtId="177" formatCode="0.00&quot;x&quot;"/>
  </numFmts>
  <fonts count="10">
    <font>
      <sz val="11"/>
      <name val="Carlito"/>
    </font>
    <font>
      <b/>
      <sz val="18"/>
      <color rgb="FFFFFFFF"/>
      <name val="Microsoft YaHei"/>
      <family val="2"/>
      <charset val="134"/>
    </font>
    <font>
      <sz val="10"/>
      <color rgb="FF243238"/>
      <name val="Microsoft YaHei"/>
      <family val="2"/>
      <charset val="134"/>
    </font>
    <font>
      <b/>
      <sz val="11"/>
      <color rgb="FFFFFFFF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1"/>
      <name val="Carlito"/>
    </font>
    <font>
      <sz val="9"/>
      <name val="宋体"/>
      <family val="3"/>
      <charset val="134"/>
    </font>
    <font>
      <b/>
      <sz val="11"/>
      <color rgb="FFFFFFFF"/>
      <name val="Carlito"/>
    </font>
    <font>
      <sz val="11"/>
      <color rgb="FF334155"/>
      <name val="Carlito"/>
    </font>
    <font>
      <b/>
      <sz val="11"/>
      <color rgb="FF334155"/>
      <name val="Carlito"/>
    </font>
  </fonts>
  <fills count="12">
    <fill>
      <patternFill patternType="none"/>
    </fill>
    <fill>
      <patternFill patternType="gray125"/>
    </fill>
    <fill>
      <patternFill patternType="solid">
        <fgColor rgb="FF24323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E7F0F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24343A"/>
      </patternFill>
    </fill>
    <fill>
      <patternFill patternType="solid">
        <fgColor rgb="FFE7F1F8"/>
      </patternFill>
    </fill>
    <fill>
      <patternFill patternType="solid">
        <fgColor rgb="FFE2E8F0"/>
      </patternFill>
    </fill>
    <fill>
      <patternFill patternType="solid">
        <fgColor rgb="FFFFF1B8"/>
      </patternFill>
    </fill>
  </fills>
  <borders count="9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/>
      <right/>
      <top/>
      <bottom style="thin">
        <color rgb="FFD7E1E8"/>
      </bottom>
      <diagonal/>
    </border>
    <border>
      <left/>
      <right/>
      <top style="thin">
        <color rgb="FFD7E1E8"/>
      </top>
      <bottom style="thin">
        <color rgb="FFD7E1E8"/>
      </bottom>
      <diagonal/>
    </border>
    <border>
      <left/>
      <right/>
      <top style="thin">
        <color rgb="FFD7E1E8"/>
      </top>
      <bottom/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4" fillId="2" borderId="0" xfId="1" applyFont="1" applyFill="1" applyAlignment="1">
      <alignment horizontal="center" vertical="center" wrapText="1"/>
    </xf>
    <xf numFmtId="0" fontId="2" fillId="0" borderId="1" xfId="1" applyFont="1" applyBorder="1" applyAlignment="1">
      <alignment vertical="center"/>
    </xf>
    <xf numFmtId="0" fontId="2" fillId="0" borderId="3" xfId="1" applyFont="1" applyBorder="1" applyAlignment="1">
      <alignment vertical="center"/>
    </xf>
    <xf numFmtId="0" fontId="2" fillId="5" borderId="1" xfId="1" applyFont="1" applyFill="1" applyBorder="1" applyAlignment="1">
      <alignment vertical="center"/>
    </xf>
    <xf numFmtId="0" fontId="2" fillId="5" borderId="2" xfId="1" applyFont="1" applyFill="1" applyBorder="1" applyAlignment="1">
      <alignment vertical="center"/>
    </xf>
    <xf numFmtId="0" fontId="2" fillId="5" borderId="3" xfId="1" applyFont="1" applyFill="1" applyBorder="1" applyAlignment="1">
      <alignment vertical="center"/>
    </xf>
    <xf numFmtId="0" fontId="0" fillId="5" borderId="0" xfId="1" applyFont="1" applyFill="1"/>
    <xf numFmtId="0" fontId="2" fillId="6" borderId="1" xfId="1" applyFont="1" applyFill="1" applyBorder="1" applyAlignment="1">
      <alignment vertical="center"/>
    </xf>
    <xf numFmtId="0" fontId="2" fillId="6" borderId="2" xfId="1" applyFont="1" applyFill="1" applyBorder="1" applyAlignment="1">
      <alignment vertical="center"/>
    </xf>
    <xf numFmtId="0" fontId="2" fillId="6" borderId="3" xfId="1" applyFont="1" applyFill="1" applyBorder="1" applyAlignment="1">
      <alignment vertical="center"/>
    </xf>
    <xf numFmtId="0" fontId="2" fillId="7" borderId="1" xfId="1" applyFont="1" applyFill="1" applyBorder="1" applyAlignment="1">
      <alignment vertical="center"/>
    </xf>
    <xf numFmtId="0" fontId="2" fillId="7" borderId="2" xfId="1" applyFont="1" applyFill="1" applyBorder="1" applyAlignment="1">
      <alignment vertical="center"/>
    </xf>
    <xf numFmtId="0" fontId="2" fillId="7" borderId="3" xfId="1" applyFont="1" applyFill="1" applyBorder="1" applyAlignment="1">
      <alignment vertical="center"/>
    </xf>
    <xf numFmtId="0" fontId="2" fillId="0" borderId="1" xfId="1" applyFont="1" applyBorder="1" applyAlignment="1">
      <alignment vertical="center" wrapText="1"/>
    </xf>
    <xf numFmtId="0" fontId="2" fillId="0" borderId="2" xfId="1" applyFont="1" applyBorder="1" applyAlignment="1">
      <alignment vertical="center" wrapText="1"/>
    </xf>
    <xf numFmtId="0" fontId="2" fillId="0" borderId="3" xfId="1" applyFont="1" applyBorder="1" applyAlignment="1">
      <alignment vertical="center" wrapText="1"/>
    </xf>
    <xf numFmtId="2" fontId="2" fillId="5" borderId="1" xfId="1" applyNumberFormat="1" applyFont="1" applyFill="1" applyBorder="1" applyAlignment="1">
      <alignment vertical="center"/>
    </xf>
    <xf numFmtId="2" fontId="2" fillId="5" borderId="2" xfId="1" applyNumberFormat="1" applyFont="1" applyFill="1" applyBorder="1" applyAlignment="1">
      <alignment vertical="center"/>
    </xf>
    <xf numFmtId="2" fontId="2" fillId="5" borderId="3" xfId="1" applyNumberFormat="1" applyFont="1" applyFill="1" applyBorder="1" applyAlignment="1">
      <alignment vertical="center"/>
    </xf>
    <xf numFmtId="2" fontId="2" fillId="7" borderId="1" xfId="1" applyNumberFormat="1" applyFont="1" applyFill="1" applyBorder="1" applyAlignment="1">
      <alignment vertical="center"/>
    </xf>
    <xf numFmtId="1" fontId="2" fillId="7" borderId="1" xfId="1" applyNumberFormat="1" applyFont="1" applyFill="1" applyBorder="1" applyAlignment="1">
      <alignment vertical="center"/>
    </xf>
    <xf numFmtId="2" fontId="2" fillId="7" borderId="2" xfId="1" applyNumberFormat="1" applyFont="1" applyFill="1" applyBorder="1" applyAlignment="1">
      <alignment vertical="center"/>
    </xf>
    <xf numFmtId="1" fontId="2" fillId="7" borderId="2" xfId="1" applyNumberFormat="1" applyFont="1" applyFill="1" applyBorder="1" applyAlignment="1">
      <alignment vertical="center"/>
    </xf>
    <xf numFmtId="2" fontId="2" fillId="7" borderId="3" xfId="1" applyNumberFormat="1" applyFont="1" applyFill="1" applyBorder="1" applyAlignment="1">
      <alignment vertical="center"/>
    </xf>
    <xf numFmtId="1" fontId="2" fillId="7" borderId="3" xfId="1" applyNumberFormat="1" applyFont="1" applyFill="1" applyBorder="1" applyAlignment="1">
      <alignment vertical="center"/>
    </xf>
    <xf numFmtId="0" fontId="7" fillId="8" borderId="4" xfId="0" applyFont="1" applyFill="1" applyBorder="1" applyAlignment="1">
      <alignment horizontal="center"/>
    </xf>
    <xf numFmtId="0" fontId="9" fillId="10" borderId="7" xfId="0" applyFont="1" applyFill="1" applyBorder="1" applyAlignment="1">
      <alignment horizontal="left"/>
    </xf>
    <xf numFmtId="0" fontId="0" fillId="0" borderId="0" xfId="0"/>
    <xf numFmtId="176" fontId="9" fillId="11" borderId="8" xfId="0" applyNumberFormat="1" applyFont="1" applyFill="1" applyBorder="1" applyAlignment="1">
      <alignment horizontal="right"/>
    </xf>
    <xf numFmtId="177" fontId="8" fillId="9" borderId="5" xfId="0" applyNumberFormat="1" applyFont="1" applyFill="1" applyBorder="1" applyAlignment="1">
      <alignment horizontal="right"/>
    </xf>
    <xf numFmtId="177" fontId="8" fillId="9" borderId="6" xfId="0" applyNumberFormat="1" applyFont="1" applyFill="1" applyBorder="1" applyAlignment="1">
      <alignment horizontal="right"/>
    </xf>
    <xf numFmtId="0" fontId="2" fillId="3" borderId="3" xfId="1" applyFont="1" applyFill="1" applyBorder="1" applyAlignment="1">
      <alignment vertical="center"/>
    </xf>
    <xf numFmtId="0" fontId="0" fillId="0" borderId="3" xfId="0" applyBorder="1"/>
    <xf numFmtId="0" fontId="2" fillId="3" borderId="2" xfId="1" applyFont="1" applyFill="1" applyBorder="1" applyAlignment="1">
      <alignment vertical="center"/>
    </xf>
    <xf numFmtId="0" fontId="0" fillId="0" borderId="2" xfId="0" applyBorder="1"/>
    <xf numFmtId="0" fontId="3" fillId="4" borderId="0" xfId="1" applyFont="1" applyFill="1" applyAlignment="1">
      <alignment vertical="center"/>
    </xf>
    <xf numFmtId="0" fontId="0" fillId="0" borderId="0" xfId="0"/>
    <xf numFmtId="0" fontId="2" fillId="3" borderId="0" xfId="1" applyFont="1" applyFill="1" applyAlignment="1">
      <alignment vertical="center" wrapText="1"/>
    </xf>
    <xf numFmtId="0" fontId="2" fillId="3" borderId="1" xfId="1" applyFont="1" applyFill="1" applyBorder="1" applyAlignment="1">
      <alignment vertical="center"/>
    </xf>
    <xf numFmtId="0" fontId="0" fillId="0" borderId="1" xfId="0" applyBorder="1"/>
    <xf numFmtId="0" fontId="1" fillId="2" borderId="0" xfId="1" applyFont="1" applyFill="1" applyAlignment="1">
      <alignment vertical="center"/>
    </xf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基础理论</a:t>
            </a:r>
            <a:r>
              <a:rPr lang="en-US" sz="900"/>
              <a:t>DPS（</a:t>
            </a:r>
            <a:r>
              <a:rPr lang="zh-CN" altLang="en-US" sz="900"/>
              <a:t>不含穿透）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理论DPS</c:v>
          </c:tx>
          <c:spPr>
            <a:solidFill>
              <a:srgbClr val="2F766F"/>
            </a:solidFill>
            <a:ln>
              <a:prstDash val="solid"/>
            </a:ln>
          </c:spPr>
          <c:invertIfNegative val="1"/>
          <c:cat>
            <c:strRef>
              <c:f>武器预览!$A$7:$A$9</c:f>
              <c:strCache>
                <c:ptCount val="3"/>
                <c:pt idx="0">
                  <c:v>土豆</c:v>
                </c:pt>
                <c:pt idx="1">
                  <c:v>法棍</c:v>
                </c:pt>
                <c:pt idx="2">
                  <c:v>蘑菇</c:v>
                </c:pt>
              </c:strCache>
            </c:strRef>
          </c:cat>
          <c:val>
            <c:numRef>
              <c:f>武器预览!$D$7:$D$9</c:f>
              <c:numCache>
                <c:formatCode>0.00</c:formatCode>
                <c:ptCount val="3"/>
                <c:pt idx="0">
                  <c:v>12.5</c:v>
                </c:pt>
                <c:pt idx="1">
                  <c:v>8</c:v>
                </c:pt>
                <c:pt idx="2">
                  <c:v>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84F-4EC1-B928-E28E72B275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r>
              <a:rPr lang="zh-CN" altLang="en-US" sz="900"/>
              <a:t>基础射程（</a:t>
            </a:r>
            <a:r>
              <a:rPr lang="en-US" sz="900"/>
              <a:t>x</a:t>
            </a:r>
            <a:r>
              <a:rPr lang="zh-CN" altLang="en-US" sz="900"/>
              <a:t>屏，</a:t>
            </a:r>
            <a:r>
              <a:rPr lang="en-US" altLang="zh-CN" sz="900"/>
              <a:t>1280</a:t>
            </a:r>
            <a:r>
              <a:rPr lang="en-US" sz="900"/>
              <a:t>px/</a:t>
            </a:r>
            <a:r>
              <a:rPr lang="zh-CN" altLang="en-US" sz="900"/>
              <a:t>屏）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射程(x屏)</c:v>
          </c:tx>
          <c:spPr>
            <a:solidFill>
              <a:srgbClr val="D97A2E"/>
            </a:solidFill>
            <a:ln>
              <a:prstDash val="solid"/>
            </a:ln>
          </c:spPr>
          <c:invertIfNegative val="1"/>
          <c:cat>
            <c:strRef>
              <c:f>武器预览!$A$7:$A$9</c:f>
              <c:strCache>
                <c:ptCount val="3"/>
                <c:pt idx="0">
                  <c:v>土豆</c:v>
                </c:pt>
                <c:pt idx="1">
                  <c:v>法棍</c:v>
                </c:pt>
                <c:pt idx="2">
                  <c:v>蘑菇</c:v>
                </c:pt>
              </c:strCache>
            </c:strRef>
          </c:cat>
          <c:val>
            <c:numRef>
              <c:f>武器预览!$H$7:$H$9</c:f>
              <c:numCache>
                <c:formatCode>0.00"x"</c:formatCode>
                <c:ptCount val="3"/>
                <c:pt idx="0">
                  <c:v>0.71578946249999997</c:v>
                </c:pt>
                <c:pt idx="1">
                  <c:v>1.171875</c:v>
                </c:pt>
                <c:pt idx="2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49A-4DA6-8E8C-DD43FE114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&quot;x&quot;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4</xdr:row>
      <xdr:rowOff>0</xdr:rowOff>
    </xdr:from>
    <xdr:to>
      <xdr:col>15</xdr:col>
      <xdr:colOff>0</xdr:colOff>
      <xdr:row>18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19</xdr:row>
      <xdr:rowOff>0</xdr:rowOff>
    </xdr:from>
    <xdr:to>
      <xdr:col>15</xdr:col>
      <xdr:colOff>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ponBalanceTable" displayName="WeaponBalanceTable" ref="A1:X6" totalsRowShown="0">
  <tableColumns count="24">
    <tableColumn id="1" xr3:uid="{00000000-0010-0000-0000-000001000000}" name="食材ID"/>
    <tableColumn id="2" xr3:uid="{00000000-0010-0000-0000-000002000000}" name="显示名称"/>
    <tableColumn id="3" xr3:uid="{00000000-0010-0000-0000-000003000000}" name="攻击类型"/>
    <tableColumn id="4" xr3:uid="{00000000-0010-0000-0000-000004000000}" name="初始瞄准"/>
    <tableColumn id="5" xr3:uid="{00000000-0010-0000-0000-000005000000}" name="初始追踪"/>
    <tableColumn id="6" xr3:uid="{00000000-0010-0000-0000-000006000000}" name="基础满足"/>
    <tableColumn id="7" xr3:uid="{00000000-0010-0000-0000-000007000000}" name="基础间隔(s)"/>
    <tableColumn id="8" xr3:uid="{00000000-0010-0000-0000-000008000000}" name="弹速(px/s)"/>
    <tableColumn id="9" xr3:uid="{00000000-0010-0000-0000-000009000000}" name="碰撞半径(px)"/>
    <tableColumn id="10" xr3:uid="{00000000-0010-0000-0000-00000A000000}" name="持续时间(s)"/>
    <tableColumn id="11" xr3:uid="{00000000-0010-0000-0000-00000B000000}" name="命中目标数"/>
    <tableColumn id="12" xr3:uid="{00000000-0010-0000-0000-00000C000000}" name="追踪转向速度"/>
    <tableColumn id="13" xr3:uid="{00000000-0010-0000-0000-00000D000000}" name="环绕半径(px)"/>
    <tableColumn id="14" xr3:uid="{00000000-0010-0000-0000-00000E000000}" name="环绕角速度(rad/s)"/>
    <tableColumn id="15" xr3:uid="{00000000-0010-0000-0000-00000F000000}" name="呼吸周期(s)"/>
    <tableColumn id="16" xr3:uid="{00000000-0010-0000-0000-000010000000}" name="呼吸外圈倍率"/>
    <tableColumn id="17" xr3:uid="{00000000-0010-0000-0000-000011000000}" name="颜色HEX"/>
    <tableColumn id="18" xr3:uid="{00000000-0010-0000-0000-000012000000}" name="攻速强化倍率"/>
    <tableColumn id="19" xr3:uid="{00000000-0010-0000-0000-000013000000}" name="酒强化倍率"/>
    <tableColumn id="20" xr3:uid="{00000000-0010-0000-0000-000014000000}" name="范围强化倍率"/>
    <tableColumn id="21" xr3:uid="{00000000-0010-0000-0000-000015000000}" name="持续强化倍率"/>
    <tableColumn id="22" xr3:uid="{00000000-0010-0000-0000-000016000000}" name="寻敌半角(°)"/>
    <tableColumn id="23" xr3:uid="{00000000-0010-0000-0000-000017000000}" name="扫掠半径(px)"/>
    <tableColumn id="24" xr3:uid="{00000000-0010-0000-0000-000018000000}" name="扫掠角度(°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xiaochuxi_weapons_config" displayName="xiaochuxi_weapons_config" ref="A1:C3" totalsRowShown="0">
  <tableColumns count="3">
    <tableColumn id="1" xr3:uid="{00000000-0010-0000-0100-000001000000}" name="参数ID"/>
    <tableColumn id="2" xr3:uid="{00000000-0010-0000-0100-000002000000}" name="数值"/>
    <tableColumn id="3" xr3:uid="{00000000-0010-0000-0100-000003000000}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WeaponNotesTable" displayName="WeaponNotesTable" ref="A1:B6" totalsRowShown="0">
  <tableColumns count="2">
    <tableColumn id="1" xr3:uid="{00000000-0010-0000-0200-000001000000}" name="项目"/>
    <tableColumn id="2" xr3:uid="{00000000-0010-0000-0200-000002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6"/>
  <sheetViews>
    <sheetView showGridLines="0" topLeftCell="A4" zoomScale="85" zoomScaleNormal="85" workbookViewId="0">
      <selection activeCell="F20" sqref="F20"/>
    </sheetView>
  </sheetViews>
  <sheetFormatPr defaultRowHeight="13.8"/>
  <cols>
    <col min="1" max="1" width="18" style="28" customWidth="1"/>
    <col min="2" max="2" width="16" style="28" customWidth="1"/>
    <col min="3" max="3" width="18" style="28" customWidth="1"/>
    <col min="4" max="4" width="20" style="28" customWidth="1"/>
    <col min="5" max="5" width="18" style="28" customWidth="1"/>
    <col min="6" max="6" width="16" style="28" customWidth="1"/>
    <col min="7" max="7" width="24" style="28" customWidth="1"/>
    <col min="8" max="8" width="15" style="28" customWidth="1"/>
    <col min="9" max="9" width="16" style="28" customWidth="1"/>
    <col min="10" max="10" width="18" style="28" customWidth="1"/>
    <col min="11" max="14" width="12" style="28" customWidth="1"/>
  </cols>
  <sheetData>
    <row r="1" spans="1:14" ht="37.950000000000003" customHeight="1">
      <c r="A1" s="41" t="s">
        <v>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</row>
    <row r="2" spans="1:14">
      <c r="A2" s="38" t="s">
        <v>1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7"/>
    </row>
    <row r="3" spans="1:14">
      <c r="A3" s="37"/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</row>
    <row r="4" spans="1:14">
      <c r="A4" s="27" t="s">
        <v>2</v>
      </c>
      <c r="B4" s="29">
        <v>1280</v>
      </c>
    </row>
    <row r="5" spans="1:14" ht="28.05" customHeight="1">
      <c r="A5" s="36" t="s">
        <v>3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</row>
    <row r="6" spans="1:14" ht="3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  <c r="H6" s="26" t="s">
        <v>11</v>
      </c>
      <c r="I6" s="1" t="s">
        <v>4</v>
      </c>
      <c r="J6" s="1" t="s">
        <v>7</v>
      </c>
    </row>
    <row r="7" spans="1:14" ht="15" customHeight="1">
      <c r="A7" s="4" t="str">
        <f>武器!B2</f>
        <v>土豆</v>
      </c>
      <c r="B7" s="17">
        <f>武器!F2</f>
        <v>10</v>
      </c>
      <c r="C7" s="17">
        <f>武器!G2</f>
        <v>0.8</v>
      </c>
      <c r="D7" s="17">
        <f>B7/C7</f>
        <v>12.5</v>
      </c>
      <c r="E7" s="17">
        <f>IF(武器!C2="orbiting_mushroom",武器!M2*POWER(1.5,INT(ABS(武器!N2)*武器!J2/(4*PI())))*IF(MOD(ABS(武器!N2)*武器!J2/(2*PI()),2)&lt;=1,1,1+0.5*(MOD(ABS(武器!N2)*武器!J2/(2*PI()),2)-1)),武器!H2*武器!J2)</f>
        <v>916.21051199999999</v>
      </c>
      <c r="F7" s="4">
        <f>武器!K2</f>
        <v>1</v>
      </c>
      <c r="G7" s="4" t="str">
        <f>武器!C2</f>
        <v>projectile</v>
      </c>
      <c r="H7" s="30">
        <f>E7/$B$4</f>
        <v>0.71578946249999997</v>
      </c>
      <c r="I7" s="7" t="str">
        <f>A7</f>
        <v>土豆</v>
      </c>
      <c r="J7" s="7">
        <f>D7</f>
        <v>12.5</v>
      </c>
    </row>
    <row r="8" spans="1:14" ht="15" customHeight="1">
      <c r="A8" s="5" t="str">
        <f>武器!B3</f>
        <v>法棍</v>
      </c>
      <c r="B8" s="18">
        <f>武器!F3</f>
        <v>12</v>
      </c>
      <c r="C8" s="18">
        <f>武器!G3</f>
        <v>1.5</v>
      </c>
      <c r="D8" s="18">
        <f>B8/C8</f>
        <v>8</v>
      </c>
      <c r="E8" s="18">
        <f>IF(武器!C3="orbiting_mushroom",武器!M3*POWER(1.5,INT(ABS(武器!N3)*武器!J3/(4*PI())))*IF(MOD(ABS(武器!N3)*武器!J3/(2*PI()),2)&lt;=1,1,1+0.5*(MOD(ABS(武器!N3)*武器!J3/(2*PI()),2)-1)),武器!H3*武器!J3)</f>
        <v>1500</v>
      </c>
      <c r="F8" s="5">
        <f>武器!K3</f>
        <v>3</v>
      </c>
      <c r="G8" s="5" t="str">
        <f>武器!C3</f>
        <v>piercing_projectile</v>
      </c>
      <c r="H8" s="30">
        <f>E8/$B$4</f>
        <v>1.171875</v>
      </c>
      <c r="I8" s="7" t="str">
        <f>A8</f>
        <v>法棍</v>
      </c>
      <c r="J8" s="7">
        <f>D8</f>
        <v>8</v>
      </c>
    </row>
    <row r="9" spans="1:14" ht="15" customHeight="1">
      <c r="A9" s="6" t="str">
        <f>武器!B4</f>
        <v>蘑菇</v>
      </c>
      <c r="B9" s="19">
        <f>武器!F4</f>
        <v>9</v>
      </c>
      <c r="C9" s="19">
        <f>武器!G4</f>
        <v>0.6</v>
      </c>
      <c r="D9" s="19">
        <f>B9/C9</f>
        <v>15</v>
      </c>
      <c r="E9" s="19" t="e">
        <f ca="1">IF(武器!C4="orbiting_mushroom",武器!M4*_xludf.LET(travel_units,ABS(武器!N4)*武器!J4/(2*PI()),IF(travel_units&lt;=1,1,IF(travel_units&lt;=2.25,SQRT(1+travel_units-1),IF(travel_units&lt;=5.25,1.5,IF(travel_units&lt;=7,SQRT(2.25+travel_units-5.25),IF(travel_units&lt;=15,2,IF(travel_units&lt;=17.25,SQRT(4+travel_units-15),IF(travel_units&lt;=37.25,2.5,IF(travel_units&lt;=40,SQRT(6.25+travel_units-37.25),IF(travel_units&lt;=88,3,IF(travel_units&lt;=91.25,SQRT(9+travel_units-88),IF(travel_units&lt;=203.25,3.5,IF(travel_units&lt;=207,SQRT(12.25+travel_units-203.25),IF(travel_units&lt;=463,4,IF(travel_units&lt;=467.25,SQRT(16+travel_units-463),4.5))))))))))))))),武器!H4*武器!J4)</f>
        <v>#NAME?</v>
      </c>
      <c r="F9" s="6">
        <f>武器!K4</f>
        <v>1</v>
      </c>
      <c r="G9" s="6" t="str">
        <f>武器!C4</f>
        <v>orbiting_mushroom</v>
      </c>
      <c r="H9" s="31" t="e">
        <f ca="1">E9/$B$4</f>
        <v>#NAME?</v>
      </c>
      <c r="I9" s="7" t="str">
        <f>A9</f>
        <v>蘑菇</v>
      </c>
      <c r="J9" s="7">
        <f>D9</f>
        <v>15</v>
      </c>
    </row>
    <row r="10" spans="1:14">
      <c r="A10" t="str">
        <f>武器!B5</f>
        <v>鸡蛋</v>
      </c>
      <c r="B10">
        <f>武器!F5</f>
        <v>3</v>
      </c>
      <c r="C10">
        <f>武器!G5</f>
        <v>1.8</v>
      </c>
      <c r="D10">
        <f>B10/C10</f>
        <v>1.6666666666666665</v>
      </c>
      <c r="E10">
        <f>IF(武器!C5="carrot_sweep",武器!W5,IF(武器!C5="orbiting_mushroom",武器!M5*POWER(1.5,INT(ABS(武器!N5)*武器!J5/(4*PI())))*IF(MOD(ABS(武器!N5)*武器!J5/(2*PI()),2)&lt;=1,1,1+0.5*(MOD(ABS(武器!N5)*武器!J5/(2*PI()),2)-1)),武器!H5*武器!J5))</f>
        <v>1360</v>
      </c>
      <c r="F10">
        <f>武器!K5</f>
        <v>1</v>
      </c>
      <c r="G10" t="str">
        <f>武器!C5</f>
        <v>egg_projectile</v>
      </c>
      <c r="H10">
        <f>E10/$B$4</f>
        <v>1.0625</v>
      </c>
      <c r="I10" t="str">
        <f>A10</f>
        <v>鸡蛋</v>
      </c>
      <c r="J10">
        <f>D10</f>
        <v>1.6666666666666665</v>
      </c>
    </row>
    <row r="11" spans="1:14">
      <c r="A11" t="str">
        <f>武器!B6</f>
        <v>胡萝卜</v>
      </c>
      <c r="B11">
        <f>武器!F6</f>
        <v>25</v>
      </c>
      <c r="C11">
        <f>武器!G6</f>
        <v>2</v>
      </c>
      <c r="D11">
        <f>B11/C11</f>
        <v>12.5</v>
      </c>
      <c r="E11">
        <f>IF(武器!C6="carrot_sweep",武器!W6,IF(武器!C6="orbiting_mushroom",武器!M6*POWER(1.5,INT(ABS(武器!N6)*武器!J6/(4*PI())))*IF(MOD(ABS(武器!N6)*武器!J6/(2*PI()),2)&lt;=1,1,1+0.5*(MOD(ABS(武器!N6)*武器!J6/(2*PI()),2)-1)),武器!H6*武器!J6))</f>
        <v>458.1053</v>
      </c>
      <c r="F11">
        <f>武器!K6</f>
        <v>999</v>
      </c>
      <c r="G11" t="str">
        <f>武器!C6</f>
        <v>carrot_sweep</v>
      </c>
      <c r="H11">
        <f>E11/$B$4</f>
        <v>0.357894765625</v>
      </c>
      <c r="I11" t="str">
        <f>A11</f>
        <v>胡萝卜</v>
      </c>
      <c r="J11">
        <f>D11</f>
        <v>12.5</v>
      </c>
    </row>
    <row r="12" spans="1:14" ht="28.05" customHeight="1">
      <c r="A12" s="36" t="s">
        <v>12</v>
      </c>
      <c r="B12" s="37"/>
      <c r="C12" s="37"/>
      <c r="D12" s="37"/>
      <c r="E12" s="37"/>
      <c r="F12" s="37"/>
      <c r="G12" s="37"/>
    </row>
    <row r="13" spans="1:14" ht="31.95" customHeight="1">
      <c r="A13" s="8" t="s">
        <v>13</v>
      </c>
      <c r="B13" s="39" t="s">
        <v>14</v>
      </c>
      <c r="C13" s="40"/>
      <c r="D13" s="40"/>
      <c r="E13" s="40"/>
      <c r="F13" s="40"/>
      <c r="G13" s="40"/>
    </row>
    <row r="14" spans="1:14" ht="31.95" customHeight="1">
      <c r="A14" s="9" t="s">
        <v>15</v>
      </c>
      <c r="B14" s="34" t="s">
        <v>16</v>
      </c>
      <c r="C14" s="35"/>
      <c r="D14" s="35"/>
      <c r="E14" s="35"/>
      <c r="F14" s="35"/>
      <c r="G14" s="35"/>
    </row>
    <row r="15" spans="1:14" ht="31.95" customHeight="1">
      <c r="A15" s="9" t="s">
        <v>9</v>
      </c>
      <c r="B15" s="34" t="s">
        <v>17</v>
      </c>
      <c r="C15" s="35"/>
      <c r="D15" s="35"/>
      <c r="E15" s="35"/>
      <c r="F15" s="35"/>
      <c r="G15" s="35"/>
    </row>
    <row r="16" spans="1:14" ht="31.95" customHeight="1">
      <c r="A16" s="10" t="s">
        <v>18</v>
      </c>
      <c r="B16" s="32" t="s">
        <v>19</v>
      </c>
      <c r="C16" s="33"/>
      <c r="D16" s="33"/>
      <c r="E16" s="33"/>
      <c r="F16" s="33"/>
      <c r="G16" s="33"/>
    </row>
  </sheetData>
  <mergeCells count="8">
    <mergeCell ref="A1:N1"/>
    <mergeCell ref="B16:G16"/>
    <mergeCell ref="B14:G14"/>
    <mergeCell ref="A12:G12"/>
    <mergeCell ref="A2:N3"/>
    <mergeCell ref="B13:G13"/>
    <mergeCell ref="A5:N5"/>
    <mergeCell ref="B15:G15"/>
  </mergeCells>
  <phoneticPr fontId="6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6"/>
  <sheetViews>
    <sheetView showGridLines="0" tabSelected="1" topLeftCell="G1" workbookViewId="0">
      <selection activeCell="N16" sqref="N16"/>
    </sheetView>
  </sheetViews>
  <sheetFormatPr defaultRowHeight="13.8"/>
  <cols>
    <col min="1" max="1" width="18" style="28" customWidth="1"/>
    <col min="2" max="2" width="16" style="28" customWidth="1"/>
    <col min="3" max="3" width="24" style="28" customWidth="1"/>
    <col min="4" max="4" width="20" style="28" customWidth="1"/>
    <col min="5" max="5" width="18" style="28" customWidth="1"/>
    <col min="6" max="6" width="14" style="28" customWidth="1"/>
    <col min="7" max="8" width="16" style="28" customWidth="1"/>
    <col min="9" max="9" width="18" style="28" customWidth="1"/>
    <col min="10" max="11" width="16" style="28" customWidth="1"/>
    <col min="12" max="13" width="18" style="28" customWidth="1"/>
    <col min="14" max="14" width="22" style="28" customWidth="1"/>
    <col min="15" max="15" width="18" style="28" customWidth="1"/>
    <col min="16" max="16" width="20" style="28" customWidth="1"/>
    <col min="17" max="20" width="16" style="28" customWidth="1"/>
    <col min="21" max="22" width="13" style="28" customWidth="1"/>
  </cols>
  <sheetData>
    <row r="1" spans="1:24" ht="30" customHeight="1">
      <c r="A1" s="1" t="s">
        <v>20</v>
      </c>
      <c r="B1" s="1" t="s">
        <v>21</v>
      </c>
      <c r="C1" s="1" t="s">
        <v>10</v>
      </c>
      <c r="D1" s="1" t="s">
        <v>22</v>
      </c>
      <c r="E1" s="1" t="s">
        <v>23</v>
      </c>
      <c r="F1" s="1" t="s">
        <v>5</v>
      </c>
      <c r="G1" s="1" t="s">
        <v>6</v>
      </c>
      <c r="H1" s="1" t="s">
        <v>24</v>
      </c>
      <c r="I1" s="1" t="s">
        <v>25</v>
      </c>
      <c r="J1" s="1" t="s">
        <v>26</v>
      </c>
      <c r="K1" s="1" t="s">
        <v>9</v>
      </c>
      <c r="L1" s="1" t="s">
        <v>27</v>
      </c>
      <c r="M1" s="1" t="s">
        <v>28</v>
      </c>
      <c r="N1" s="1" t="s">
        <v>29</v>
      </c>
      <c r="O1" s="1" t="s">
        <v>30</v>
      </c>
      <c r="P1" s="1" t="s">
        <v>31</v>
      </c>
      <c r="Q1" s="1" t="s">
        <v>32</v>
      </c>
      <c r="R1" s="1" t="s">
        <v>33</v>
      </c>
      <c r="S1" s="1" t="s">
        <v>34</v>
      </c>
      <c r="T1" s="1" t="s">
        <v>35</v>
      </c>
      <c r="U1" s="1" t="s">
        <v>36</v>
      </c>
      <c r="V1" s="1" t="s">
        <v>37</v>
      </c>
      <c r="W1" t="s">
        <v>38</v>
      </c>
      <c r="X1" t="s">
        <v>39</v>
      </c>
    </row>
    <row r="2" spans="1:24" ht="15" customHeight="1">
      <c r="A2" s="8" t="s">
        <v>40</v>
      </c>
      <c r="B2" s="8" t="s">
        <v>41</v>
      </c>
      <c r="C2" s="8" t="s">
        <v>42</v>
      </c>
      <c r="D2" s="8" t="s">
        <v>43</v>
      </c>
      <c r="E2" s="8" t="s">
        <v>44</v>
      </c>
      <c r="F2" s="20">
        <v>10</v>
      </c>
      <c r="G2" s="20">
        <v>0.8</v>
      </c>
      <c r="H2" s="20">
        <v>680</v>
      </c>
      <c r="I2" s="20">
        <v>17</v>
      </c>
      <c r="J2" s="20">
        <v>1.3473683999999999</v>
      </c>
      <c r="K2" s="21">
        <v>1</v>
      </c>
      <c r="L2" s="20">
        <v>4.5</v>
      </c>
      <c r="M2" s="20">
        <v>120</v>
      </c>
      <c r="N2" s="20">
        <v>3.2</v>
      </c>
      <c r="O2" s="20">
        <v>1.2</v>
      </c>
      <c r="P2" s="20">
        <v>2</v>
      </c>
      <c r="Q2" s="11" t="s">
        <v>45</v>
      </c>
      <c r="R2" s="20">
        <v>1</v>
      </c>
      <c r="S2" s="20">
        <v>0.35</v>
      </c>
      <c r="T2" s="20">
        <v>1</v>
      </c>
      <c r="U2" s="20">
        <v>0.2</v>
      </c>
      <c r="V2" s="20">
        <v>90</v>
      </c>
      <c r="W2">
        <v>0</v>
      </c>
      <c r="X2">
        <v>0</v>
      </c>
    </row>
    <row r="3" spans="1:24" ht="15" customHeight="1">
      <c r="A3" s="9" t="s">
        <v>46</v>
      </c>
      <c r="B3" s="9" t="s">
        <v>47</v>
      </c>
      <c r="C3" s="9" t="s">
        <v>48</v>
      </c>
      <c r="D3" s="9" t="s">
        <v>49</v>
      </c>
      <c r="E3" s="9" t="s">
        <v>44</v>
      </c>
      <c r="F3" s="22">
        <v>12</v>
      </c>
      <c r="G3" s="22">
        <v>1.5</v>
      </c>
      <c r="H3" s="22">
        <v>1500</v>
      </c>
      <c r="I3" s="22">
        <v>14</v>
      </c>
      <c r="J3" s="22">
        <v>1</v>
      </c>
      <c r="K3" s="23">
        <v>3</v>
      </c>
      <c r="L3" s="22">
        <v>4.5</v>
      </c>
      <c r="M3" s="22">
        <v>120</v>
      </c>
      <c r="N3" s="22">
        <v>3.2</v>
      </c>
      <c r="O3" s="22">
        <v>1.2</v>
      </c>
      <c r="P3" s="22">
        <v>2</v>
      </c>
      <c r="Q3" s="12" t="s">
        <v>50</v>
      </c>
      <c r="R3" s="20">
        <v>1</v>
      </c>
      <c r="S3" s="20">
        <v>0.35</v>
      </c>
      <c r="T3" s="20">
        <v>1</v>
      </c>
      <c r="U3" s="20">
        <v>0.25</v>
      </c>
      <c r="V3" s="20">
        <v>30</v>
      </c>
      <c r="W3">
        <v>0</v>
      </c>
      <c r="X3">
        <v>0</v>
      </c>
    </row>
    <row r="4" spans="1:24" ht="15" customHeight="1">
      <c r="A4" s="10" t="s">
        <v>51</v>
      </c>
      <c r="B4" s="10" t="s">
        <v>52</v>
      </c>
      <c r="C4" s="10" t="s">
        <v>53</v>
      </c>
      <c r="D4" s="10" t="s">
        <v>43</v>
      </c>
      <c r="E4" s="10" t="s">
        <v>44</v>
      </c>
      <c r="F4" s="24">
        <v>9</v>
      </c>
      <c r="G4" s="24">
        <v>0.6</v>
      </c>
      <c r="H4" s="24">
        <v>0</v>
      </c>
      <c r="I4" s="24">
        <v>22</v>
      </c>
      <c r="J4" s="24">
        <v>4</v>
      </c>
      <c r="K4" s="25">
        <v>1</v>
      </c>
      <c r="L4" s="24">
        <v>4.5</v>
      </c>
      <c r="M4" s="24">
        <v>100</v>
      </c>
      <c r="N4" s="24">
        <v>4</v>
      </c>
      <c r="O4" s="24">
        <v>1.2</v>
      </c>
      <c r="P4" s="24">
        <v>2</v>
      </c>
      <c r="Q4" s="13" t="s">
        <v>54</v>
      </c>
      <c r="R4" s="20">
        <v>1</v>
      </c>
      <c r="S4" s="20">
        <v>1</v>
      </c>
      <c r="T4" s="20">
        <v>0.5</v>
      </c>
      <c r="U4" s="20">
        <v>0.2</v>
      </c>
      <c r="V4" s="20">
        <v>90</v>
      </c>
      <c r="W4">
        <v>0</v>
      </c>
      <c r="X4">
        <v>0</v>
      </c>
    </row>
    <row r="5" spans="1:24">
      <c r="A5" t="s">
        <v>55</v>
      </c>
      <c r="B5" t="s">
        <v>56</v>
      </c>
      <c r="C5" t="s">
        <v>57</v>
      </c>
      <c r="D5" t="s">
        <v>43</v>
      </c>
      <c r="E5" t="s">
        <v>44</v>
      </c>
      <c r="F5">
        <v>3</v>
      </c>
      <c r="G5">
        <v>1.8</v>
      </c>
      <c r="H5">
        <v>680</v>
      </c>
      <c r="I5">
        <v>17</v>
      </c>
      <c r="J5">
        <v>2</v>
      </c>
      <c r="K5">
        <v>1</v>
      </c>
      <c r="L5">
        <v>4.5</v>
      </c>
      <c r="M5">
        <v>120</v>
      </c>
      <c r="N5">
        <v>3.2</v>
      </c>
      <c r="O5">
        <v>1.2</v>
      </c>
      <c r="P5">
        <v>2</v>
      </c>
      <c r="Q5" t="s">
        <v>58</v>
      </c>
      <c r="R5">
        <v>1</v>
      </c>
      <c r="S5">
        <v>0.35</v>
      </c>
      <c r="T5">
        <v>1</v>
      </c>
      <c r="U5">
        <v>0.2</v>
      </c>
      <c r="V5">
        <v>90</v>
      </c>
      <c r="W5">
        <v>0</v>
      </c>
      <c r="X5">
        <v>0</v>
      </c>
    </row>
    <row r="6" spans="1:24">
      <c r="A6" t="s">
        <v>59</v>
      </c>
      <c r="B6" t="s">
        <v>60</v>
      </c>
      <c r="C6" t="s">
        <v>61</v>
      </c>
      <c r="D6" t="s">
        <v>43</v>
      </c>
      <c r="E6" t="s">
        <v>44</v>
      </c>
      <c r="F6">
        <v>25</v>
      </c>
      <c r="G6">
        <v>2</v>
      </c>
      <c r="H6">
        <v>680</v>
      </c>
      <c r="I6">
        <v>17</v>
      </c>
      <c r="J6">
        <v>0.25</v>
      </c>
      <c r="K6">
        <v>999</v>
      </c>
      <c r="L6">
        <v>4.5</v>
      </c>
      <c r="M6">
        <v>120</v>
      </c>
      <c r="N6">
        <v>12.56636</v>
      </c>
      <c r="O6">
        <v>1.2</v>
      </c>
      <c r="P6">
        <v>2</v>
      </c>
      <c r="Q6" t="s">
        <v>62</v>
      </c>
      <c r="R6">
        <v>1</v>
      </c>
      <c r="S6">
        <v>0.35</v>
      </c>
      <c r="T6">
        <v>1</v>
      </c>
      <c r="U6">
        <v>0.2</v>
      </c>
      <c r="V6">
        <v>90</v>
      </c>
      <c r="W6">
        <v>458.1053</v>
      </c>
      <c r="X6">
        <v>180</v>
      </c>
    </row>
  </sheetData>
  <phoneticPr fontId="6" type="noConversion"/>
  <dataValidations count="3">
    <dataValidation type="list" sqref="C2:C4" xr:uid="{00000000-0002-0000-0100-000000000000}">
      <formula1>"projectile,piercing_projectile,orbiting_mushroom"</formula1>
    </dataValidation>
    <dataValidation type="list" sqref="D2:D4" xr:uid="{00000000-0002-0000-0100-000001000000}">
      <formula1>"fixed_forward,target_snapshot"</formula1>
    </dataValidation>
    <dataValidation type="list" sqref="E2:E4" xr:uid="{00000000-0002-0000-0100-000002000000}">
      <formula1>"none,homing"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"/>
  <sheetViews>
    <sheetView showGridLines="0" workbookViewId="0">
      <selection activeCell="C3" sqref="C3"/>
    </sheetView>
  </sheetViews>
  <sheetFormatPr defaultRowHeight="13.8"/>
  <cols>
    <col min="1" max="1" width="24" style="28" customWidth="1"/>
    <col min="2" max="2" width="18" style="28" customWidth="1"/>
    <col min="3" max="3" width="16" style="28" customWidth="1"/>
    <col min="4" max="4" width="18" style="28" customWidth="1"/>
    <col min="5" max="7" width="16" style="28" customWidth="1"/>
    <col min="8" max="9" width="14" style="28" customWidth="1"/>
    <col min="10" max="10" width="10" style="28" customWidth="1"/>
  </cols>
  <sheetData>
    <row r="1" spans="1:10" ht="30" customHeight="1">
      <c r="A1" s="1" t="s">
        <v>63</v>
      </c>
      <c r="B1" s="1" t="s">
        <v>64</v>
      </c>
      <c r="C1" s="1" t="s">
        <v>6</v>
      </c>
      <c r="D1" s="1" t="s">
        <v>33</v>
      </c>
      <c r="E1" s="1" t="s">
        <v>65</v>
      </c>
      <c r="F1" s="1" t="s">
        <v>66</v>
      </c>
      <c r="G1" s="1" t="s">
        <v>9</v>
      </c>
      <c r="H1" s="1" t="s">
        <v>67</v>
      </c>
      <c r="I1" s="1" t="s">
        <v>68</v>
      </c>
      <c r="J1" s="1" t="s">
        <v>69</v>
      </c>
    </row>
    <row r="2" spans="1:10" ht="15" customHeight="1">
      <c r="A2" s="8" t="s">
        <v>70</v>
      </c>
      <c r="B2" s="8" t="s">
        <v>46</v>
      </c>
      <c r="C2" s="20">
        <v>3</v>
      </c>
      <c r="D2" s="20">
        <v>0.05</v>
      </c>
      <c r="E2" s="20">
        <v>1</v>
      </c>
      <c r="F2" s="20">
        <v>4</v>
      </c>
      <c r="G2" s="20">
        <v>999</v>
      </c>
      <c r="H2" s="20">
        <v>1.5</v>
      </c>
      <c r="I2" s="20">
        <v>3</v>
      </c>
      <c r="J2" s="20">
        <v>1</v>
      </c>
    </row>
    <row r="3" spans="1:10">
      <c r="A3" t="s">
        <v>71</v>
      </c>
      <c r="B3" t="s">
        <v>55</v>
      </c>
      <c r="C3">
        <v>0.4</v>
      </c>
      <c r="H3">
        <v>1.5</v>
      </c>
      <c r="I3">
        <v>1</v>
      </c>
      <c r="J3">
        <v>1</v>
      </c>
    </row>
  </sheetData>
  <phoneticPr fontId="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"/>
  <sheetViews>
    <sheetView showGridLines="0" workbookViewId="0"/>
  </sheetViews>
  <sheetFormatPr defaultRowHeight="13.8"/>
  <cols>
    <col min="1" max="1" width="30" style="28" customWidth="1"/>
    <col min="2" max="2" width="34" style="28" customWidth="1"/>
    <col min="3" max="3" width="48" style="28" customWidth="1"/>
  </cols>
  <sheetData>
    <row r="1" spans="1:3" ht="30" customHeight="1">
      <c r="A1" s="1" t="s">
        <v>72</v>
      </c>
      <c r="B1" s="1" t="s">
        <v>73</v>
      </c>
      <c r="C1" s="1" t="s">
        <v>74</v>
      </c>
    </row>
    <row r="2" spans="1:3" ht="15" customHeight="1">
      <c r="A2" s="2" t="s">
        <v>75</v>
      </c>
      <c r="B2" s="8" t="s">
        <v>76</v>
      </c>
      <c r="C2" s="2" t="s">
        <v>77</v>
      </c>
    </row>
    <row r="3" spans="1:3" ht="15" customHeight="1">
      <c r="A3" s="3" t="s">
        <v>78</v>
      </c>
      <c r="B3" s="10">
        <v>5</v>
      </c>
      <c r="C3" s="3" t="s">
        <v>79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6"/>
  <sheetViews>
    <sheetView showGridLines="0" workbookViewId="0"/>
  </sheetViews>
  <sheetFormatPr defaultRowHeight="13.8"/>
  <cols>
    <col min="1" max="1" width="20" style="28" customWidth="1"/>
    <col min="2" max="2" width="94" style="28" customWidth="1"/>
  </cols>
  <sheetData>
    <row r="1" spans="1:2" ht="30" customHeight="1">
      <c r="A1" s="1" t="s">
        <v>80</v>
      </c>
      <c r="B1" s="1" t="s">
        <v>74</v>
      </c>
    </row>
    <row r="2" spans="1:2" ht="42" customHeight="1">
      <c r="A2" s="8" t="s">
        <v>81</v>
      </c>
      <c r="B2" s="14" t="s">
        <v>82</v>
      </c>
    </row>
    <row r="3" spans="1:2" ht="42" customHeight="1">
      <c r="A3" s="9" t="s">
        <v>83</v>
      </c>
      <c r="B3" s="15" t="s">
        <v>84</v>
      </c>
    </row>
    <row r="4" spans="1:2" ht="42" customHeight="1">
      <c r="A4" s="9" t="s">
        <v>85</v>
      </c>
      <c r="B4" s="15" t="s">
        <v>86</v>
      </c>
    </row>
    <row r="5" spans="1:2" ht="42" customHeight="1">
      <c r="A5" s="9" t="s">
        <v>87</v>
      </c>
      <c r="B5" s="15" t="s">
        <v>88</v>
      </c>
    </row>
    <row r="6" spans="1:2" ht="42" customHeight="1">
      <c r="A6" s="10" t="s">
        <v>89</v>
      </c>
      <c r="B6" s="16" t="s">
        <v>90</v>
      </c>
    </row>
  </sheetData>
  <phoneticPr fontId="6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武器预览</vt:lpstr>
      <vt:lpstr>武器</vt:lpstr>
      <vt:lpstr>衍生攻击</vt:lpstr>
      <vt:lpstr>配置</vt:lpstr>
      <vt:lpstr>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塔</cp:lastModifiedBy>
  <dcterms:created xsi:type="dcterms:W3CDTF">2026-07-29T19:40:07Z</dcterms:created>
  <dcterms:modified xsi:type="dcterms:W3CDTF">2026-08-04T15:50:55Z</dcterms:modified>
</cp:coreProperties>
</file>