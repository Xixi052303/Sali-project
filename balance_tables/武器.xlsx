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武器预览" sheetId="1" state="visible" r:id="rId1"/>
    <sheet xmlns:r="http://schemas.openxmlformats.org/officeDocument/2006/relationships" name="武器" sheetId="2" state="visible" r:id="rId2"/>
    <sheet xmlns:r="http://schemas.openxmlformats.org/officeDocument/2006/relationships" name="衍生攻击" sheetId="3" state="visible" r:id="rId3"/>
    <sheet xmlns:r="http://schemas.openxmlformats.org/officeDocument/2006/relationships" name="配置" sheetId="4" state="visible" r:id="rId4"/>
    <sheet xmlns:r="http://schemas.openxmlformats.org/officeDocument/2006/relationships" name="说明" sheetId="5" state="visible" r:id="rId5"/>
  </sheets>
  <definedNames>
    <definedName name="_xlnm._FilterDatabase" localSheetId="2" hidden="1">'衍生攻击'!$A$1:$J$2</definedName>
  </definedNames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Microsoft YaHei"/>
      <b val="1"/>
      <color rgb="FFFFFFFF"/>
      <sz val="18"/>
    </font>
    <font>
      <name val="Microsoft YaHei"/>
      <color rgb="FF243238"/>
      <sz val="10"/>
    </font>
    <font>
      <name val="Microsoft YaHei"/>
      <b val="1"/>
      <color rgb="FFFFFFFF"/>
      <sz val="11"/>
    </font>
    <font>
      <name val="Microsoft YaHei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243238"/>
      </patternFill>
    </fill>
    <fill>
      <patternFill patternType="solid">
        <fgColor rgb="FFF5F7F6"/>
      </patternFill>
    </fill>
    <fill>
      <patternFill patternType="solid">
        <fgColor rgb="FF2D6F6A"/>
      </patternFill>
    </fill>
    <fill>
      <patternFill patternType="solid">
        <fgColor rgb="FFE7F0F8"/>
      </patternFill>
    </fill>
    <fill>
      <patternFill patternType="solid">
        <fgColor rgb="FFE8F3EC"/>
      </patternFill>
    </fill>
    <fill>
      <patternFill patternType="solid">
        <fgColor rgb="FFFFF3CD"/>
      </patternFill>
    </fill>
  </fills>
  <borders count="4">
    <border/>
    <border>
      <bottom style="thin">
        <color rgb="FFD7DDD9"/>
      </bottom>
    </border>
    <border>
      <top style="thin">
        <color rgb="FFD7DDD9"/>
      </top>
      <bottom style="thin">
        <color rgb="FFD7DDD9"/>
      </bottom>
    </border>
    <border>
      <top style="thin">
        <color rgb="FFD7DDD9"/>
      </top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4" fillId="2" borderId="0" pivotButton="0" quotePrefix="0" xfId="0"/>
    <xf numFmtId="0" fontId="4" fillId="2" borderId="0" applyAlignment="1" pivotButton="0" quotePrefix="0" xfId="0">
      <alignment wrapText="1"/>
    </xf>
    <xf numFmtId="0" fontId="4" fillId="2" borderId="0" applyAlignment="1" pivotButton="0" quotePrefix="0" xfId="0">
      <alignment horizontal="center" wrapText="1"/>
    </xf>
    <xf numFmtId="0" fontId="4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2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2" fillId="5" borderId="2" applyAlignment="1" pivotButton="0" quotePrefix="0" xfId="0">
      <alignment vertical="center"/>
    </xf>
    <xf numFmtId="0" fontId="2" fillId="5" borderId="3" applyAlignment="1" pivotButton="0" quotePrefix="0" xfId="0">
      <alignment vertical="center"/>
    </xf>
    <xf numFmtId="2" fontId="2" fillId="5" borderId="1" applyAlignment="1" pivotButton="0" quotePrefix="0" xfId="0">
      <alignment vertical="center"/>
    </xf>
    <xf numFmtId="2" fontId="2" fillId="5" borderId="2" applyAlignment="1" pivotButton="0" quotePrefix="0" xfId="0">
      <alignment vertical="center"/>
    </xf>
    <xf numFmtId="2" fontId="2" fillId="5" borderId="3" applyAlignment="1" pivotButton="0" quotePrefix="0" xfId="0">
      <alignment vertical="center"/>
    </xf>
    <xf numFmtId="0" fontId="0" fillId="5" borderId="0" pivotButton="0" quotePrefix="0" xfId="0"/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2" fillId="3" borderId="1" applyAlignment="1" pivotButton="0" quotePrefix="0" xfId="0">
      <alignment vertical="center"/>
    </xf>
    <xf numFmtId="0" fontId="2" fillId="6" borderId="2" applyAlignment="1" pivotButton="0" quotePrefix="0" xfId="0">
      <alignment vertical="center"/>
    </xf>
    <xf numFmtId="0" fontId="2" fillId="3" borderId="2" applyAlignment="1" pivotButton="0" quotePrefix="0" xfId="0">
      <alignment vertical="center"/>
    </xf>
    <xf numFmtId="0" fontId="2" fillId="6" borderId="3" applyAlignment="1" pivotButton="0" quotePrefix="0" xfId="0">
      <alignment vertical="center"/>
    </xf>
    <xf numFmtId="0" fontId="2" fillId="3" borderId="3" applyAlignment="1" pivotButton="0" quotePrefix="0" xfId="0">
      <alignment vertical="center"/>
    </xf>
    <xf numFmtId="0" fontId="2" fillId="7" borderId="1" applyAlignment="1" pivotButton="0" quotePrefix="0" xfId="0">
      <alignment vertical="center"/>
    </xf>
    <xf numFmtId="0" fontId="2" fillId="7" borderId="2" applyAlignment="1" pivotButton="0" quotePrefix="0" xfId="0">
      <alignment vertical="center"/>
    </xf>
    <xf numFmtId="0" fontId="2" fillId="7" borderId="3" applyAlignment="1" pivotButton="0" quotePrefix="0" xfId="0">
      <alignment vertical="center"/>
    </xf>
    <xf numFmtId="2" fontId="2" fillId="7" borderId="1" applyAlignment="1" pivotButton="0" quotePrefix="0" xfId="0">
      <alignment vertical="center"/>
    </xf>
    <xf numFmtId="2" fontId="2" fillId="7" borderId="2" applyAlignment="1" pivotButton="0" quotePrefix="0" xfId="0">
      <alignment vertical="center"/>
    </xf>
    <xf numFmtId="2" fontId="2" fillId="7" borderId="3" applyAlignment="1" pivotButton="0" quotePrefix="0" xfId="0">
      <alignment vertical="center"/>
    </xf>
    <xf numFmtId="1" fontId="2" fillId="7" borderId="1" applyAlignment="1" pivotButton="0" quotePrefix="0" xfId="0">
      <alignment vertical="center"/>
    </xf>
    <xf numFmtId="1" fontId="2" fillId="7" borderId="2" applyAlignment="1" pivotButton="0" quotePrefix="0" xfId="0">
      <alignment vertical="center"/>
    </xf>
    <xf numFmtId="1" fontId="2" fillId="7" borderId="3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2" applyAlignment="1" pivotButton="0" quotePrefix="0" xfId="0">
      <alignment vertical="center" wrapText="1"/>
    </xf>
    <xf numFmtId="0" fontId="2" fillId="0" borderId="3" applyAlignment="1" pivotButton="0" quotePrefix="0" xfId="0">
      <alignment vertical="center" wrapText="1"/>
    </xf>
    <xf numFmtId="2" fontId="2" fillId="5" borderId="1" applyAlignment="1" pivotButton="0" quotePrefix="0" xfId="0">
      <alignment vertical="center"/>
    </xf>
    <xf numFmtId="2" fontId="2" fillId="5" borderId="2" applyAlignment="1" pivotButton="0" quotePrefix="0" xfId="0">
      <alignment vertical="center"/>
    </xf>
    <xf numFmtId="2" fontId="2" fillId="5" borderId="3" applyAlignment="1" pivotButton="0" quotePrefix="0" xfId="0">
      <alignment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2" fontId="2" fillId="7" borderId="1" applyAlignment="1" pivotButton="0" quotePrefix="0" xfId="0">
      <alignment vertical="center"/>
    </xf>
    <xf numFmtId="1" fontId="2" fillId="7" borderId="1" applyAlignment="1" pivotButton="0" quotePrefix="0" xfId="0">
      <alignment vertical="center"/>
    </xf>
    <xf numFmtId="2" fontId="2" fillId="7" borderId="2" applyAlignment="1" pivotButton="0" quotePrefix="0" xfId="0">
      <alignment vertical="center"/>
    </xf>
    <xf numFmtId="1" fontId="2" fillId="7" borderId="2" applyAlignment="1" pivotButton="0" quotePrefix="0" xfId="0">
      <alignment vertical="center"/>
    </xf>
    <xf numFmtId="2" fontId="2" fillId="7" borderId="3" applyAlignment="1" pivotButton="0" quotePrefix="0" xfId="0">
      <alignment vertical="center"/>
    </xf>
    <xf numFmtId="1" fontId="2" fillId="7" borderId="3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未强化理论每秒满足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理论每秒满足</v>
          </tx>
          <spPr>
            <a:ln xmlns:a="http://schemas.openxmlformats.org/drawingml/2006/main">
              <a:prstDash val="solid"/>
            </a:ln>
          </spPr>
          <cat>
            <strRef>
              <f>'武器预览'!$I$7:$I$9</f>
              <strCache>
                <ptCount val="0"/>
              </strCache>
            </strRef>
          </cat>
          <val>
            <numRef>
              <f>'武器预览'!$J$7:$J$9</f>
              <numCache>
                <formatCode>0.0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0.0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8</col>
      <colOff>0</colOff>
      <row>4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WeaponBalanceTable" displayName="WeaponBalanceTable" ref="A1:Q4" headerRowCount="1" totalsRowCount="0" totalsRowShown="0">
  <tableColumns count="17">
    <tableColumn id="1" name="食材ID"/>
    <tableColumn id="2" name="显示名称"/>
    <tableColumn id="3" name="攻击类型"/>
    <tableColumn id="4" name="初始瞄准"/>
    <tableColumn id="5" name="初始追踪"/>
    <tableColumn id="6" name="基础满足"/>
    <tableColumn id="7" name="基础间隔(s)"/>
    <tableColumn id="8" name="弹速(px/s)"/>
    <tableColumn id="9" name="碰撞半径(px)"/>
    <tableColumn id="10" name="持续时间(s)"/>
    <tableColumn id="11" name="命中目标数"/>
    <tableColumn id="12" name="追踪转向速度"/>
    <tableColumn id="13" name="环绕半径(px)"/>
    <tableColumn id="14" name="环绕角速度(rad/s)"/>
    <tableColumn id="15" name="呼吸周期(s)"/>
    <tableColumn id="16" name="呼吸外圈倍率"/>
    <tableColumn id="17" name="颜色HE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xiaochuxi_weapons_config" displayName="xiaochuxi_weapons_config" ref="A1:C3" headerRowCount="1" totalsRowCount="0" totalsRowShown="0">
  <tableColumns count="3">
    <tableColumn id="1" name="参数ID"/>
    <tableColumn id="2" name="数值"/>
    <tableColumn id="3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WeaponNotesTable" displayName="WeaponNotesTable" ref="A1:B6" headerRowCount="1" totalsRowCount="0" totalsRowShown="0">
  <tableColumns count="2">
    <tableColumn id="1" name="项目"/>
    <tableColumn id="2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8" customWidth="1" min="3" max="3"/>
    <col width="20" customWidth="1" min="4" max="4"/>
    <col width="18" customWidth="1" min="5" max="5"/>
    <col width="16" customWidth="1" min="6" max="6"/>
    <col width="24" customWidth="1" min="7" max="7"/>
    <col width="4" customWidth="1" min="8" max="8"/>
    <col width="16" customWidth="1" min="9" max="9"/>
    <col width="18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8" customHeight="1">
      <c r="A1" s="3" t="inlineStr">
        <is>
          <t>小厨西 · 武器数值预览</t>
        </is>
      </c>
    </row>
    <row r="2">
      <c r="A2" s="7" t="inlineStr">
        <is>
          <t>本页由“武器”页黄色数值自动计算。理论每秒满足仅用于横向比较，不包含等级、普通强化、加量、穿透、目标数量与实战空窗。</t>
        </is>
      </c>
    </row>
    <row r="3"/>
    <row r="5" ht="28" customHeight="1">
      <c r="A5" s="10" t="inlineStr">
        <is>
          <t>基础输出与射程对比</t>
        </is>
      </c>
    </row>
    <row r="6" ht="30" customHeight="1">
      <c r="A6" s="14" t="inlineStr">
        <is>
          <t>食材</t>
        </is>
      </c>
      <c r="B6" s="14" t="inlineStr">
        <is>
          <t>基础满足</t>
        </is>
      </c>
      <c r="C6" s="14" t="inlineStr">
        <is>
          <t>基础间隔(s)</t>
        </is>
      </c>
      <c r="D6" s="14" t="inlineStr">
        <is>
          <t>理论每秒满足</t>
        </is>
      </c>
      <c r="E6" s="14" t="inlineStr">
        <is>
          <t>基础射程(px)</t>
        </is>
      </c>
      <c r="F6" s="14" t="inlineStr">
        <is>
          <t>命中目标数</t>
        </is>
      </c>
      <c r="G6" s="14" t="inlineStr">
        <is>
          <t>攻击类型</t>
        </is>
      </c>
      <c r="I6" s="14" t="inlineStr">
        <is>
          <t>食材</t>
        </is>
      </c>
      <c r="J6" s="14" t="inlineStr">
        <is>
          <t>理论每秒满足</t>
        </is>
      </c>
    </row>
    <row r="7">
      <c r="A7" s="20">
        <f>'武器'!B2</f>
        <v/>
      </c>
      <c r="B7" s="49">
        <f>'武器'!F2</f>
        <v/>
      </c>
      <c r="C7" s="49">
        <f>'武器'!G2</f>
        <v/>
      </c>
      <c r="D7" s="49">
        <f>B7/C7</f>
        <v/>
      </c>
      <c r="E7" s="49">
        <f>'武器'!H2*'武器'!J2</f>
        <v/>
      </c>
      <c r="F7" s="20">
        <f>'武器'!K2</f>
        <v/>
      </c>
      <c r="G7" s="20">
        <f>'武器'!C2</f>
        <v/>
      </c>
      <c r="I7" s="26">
        <f>A7</f>
        <v/>
      </c>
      <c r="J7" s="26">
        <f>D7</f>
        <v/>
      </c>
    </row>
    <row r="8">
      <c r="A8" s="21">
        <f>'武器'!B3</f>
        <v/>
      </c>
      <c r="B8" s="50">
        <f>'武器'!F3</f>
        <v/>
      </c>
      <c r="C8" s="50">
        <f>'武器'!G3</f>
        <v/>
      </c>
      <c r="D8" s="50">
        <f>B8/C8</f>
        <v/>
      </c>
      <c r="E8" s="50">
        <f>'武器'!H3*'武器'!J3</f>
        <v/>
      </c>
      <c r="F8" s="21">
        <f>'武器'!K3</f>
        <v/>
      </c>
      <c r="G8" s="21">
        <f>'武器'!C3</f>
        <v/>
      </c>
      <c r="I8" s="26">
        <f>A8</f>
        <v/>
      </c>
      <c r="J8" s="26">
        <f>D8</f>
        <v/>
      </c>
    </row>
    <row r="9">
      <c r="A9" s="22">
        <f>'武器'!B4</f>
        <v/>
      </c>
      <c r="B9" s="51">
        <f>'武器'!F4</f>
        <v/>
      </c>
      <c r="C9" s="51">
        <f>'武器'!G4</f>
        <v/>
      </c>
      <c r="D9" s="51">
        <f>B9/C9</f>
        <v/>
      </c>
      <c r="E9" s="51">
        <f>'武器'!H4*'武器'!J4</f>
        <v/>
      </c>
      <c r="F9" s="22">
        <f>'武器'!K4</f>
        <v/>
      </c>
      <c r="G9" s="22">
        <f>'武器'!C4</f>
        <v/>
      </c>
      <c r="I9" s="26">
        <f>A9</f>
        <v/>
      </c>
      <c r="J9" s="26">
        <f>D9</f>
        <v/>
      </c>
    </row>
    <row r="12" ht="28" customHeight="1">
      <c r="A12" s="10" t="inlineStr">
        <is>
          <t>调参提醒</t>
        </is>
      </c>
    </row>
    <row r="13" ht="32" customHeight="1">
      <c r="A13" s="31" t="inlineStr">
        <is>
          <t>满足与间隔</t>
        </is>
      </c>
      <c r="B13" s="32" t="inlineStr">
        <is>
          <t>两者共同决定单目标基础输出；间隔还会受到快速备餐影响。</t>
        </is>
      </c>
      <c r="C13" s="52" t="n"/>
      <c r="D13" s="52" t="n"/>
      <c r="E13" s="52" t="n"/>
      <c r="F13" s="52" t="n"/>
      <c r="G13" s="52" t="n"/>
    </row>
    <row r="14" ht="32" customHeight="1">
      <c r="A14" s="33" t="inlineStr">
        <is>
          <t>弹速与持续</t>
        </is>
      </c>
      <c r="B14" s="34" t="inlineStr">
        <is>
          <t>投射武器基础射程等于弹速乘持续时间；酒和淀粉会分别继续放大。</t>
        </is>
      </c>
      <c r="C14" s="53" t="n"/>
      <c r="D14" s="53" t="n"/>
      <c r="E14" s="53" t="n"/>
      <c r="F14" s="53" t="n"/>
      <c r="G14" s="53" t="n"/>
    </row>
    <row r="15" ht="32" customHeight="1">
      <c r="A15" s="33" t="inlineStr">
        <is>
          <t>命中目标数</t>
        </is>
      </c>
      <c r="B15" s="34" t="inlineStr">
        <is>
          <t>表示未获得酱油时单份攻击最多命中的不同目标数量。</t>
        </is>
      </c>
      <c r="C15" s="53" t="n"/>
      <c r="D15" s="53" t="n"/>
      <c r="E15" s="53" t="n"/>
      <c r="F15" s="53" t="n"/>
      <c r="G15" s="53" t="n"/>
    </row>
    <row r="16" ht="32" customHeight="1">
      <c r="A16" s="35" t="inlineStr">
        <is>
          <t>环绕参数</t>
        </is>
      </c>
      <c r="B16" s="36" t="inlineStr">
        <is>
          <t>只对环绕武器生效；呼吸周期和外圈倍率在获得对应特殊强化后使用。</t>
        </is>
      </c>
      <c r="C16" s="54" t="n"/>
      <c r="D16" s="54" t="n"/>
      <c r="E16" s="54" t="n"/>
      <c r="F16" s="54" t="n"/>
      <c r="G16" s="54" t="n"/>
    </row>
  </sheetData>
  <mergeCells count="8">
    <mergeCell ref="B16:G16"/>
    <mergeCell ref="B14:G14"/>
    <mergeCell ref="A12:G12"/>
    <mergeCell ref="A2:N3"/>
    <mergeCell ref="B13:G13"/>
    <mergeCell ref="A5:N5"/>
    <mergeCell ref="B15:G15"/>
    <mergeCell ref="A1:N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4" customWidth="1" min="3" max="3"/>
    <col width="20" customWidth="1" min="4" max="4"/>
    <col width="18" customWidth="1" min="5" max="5"/>
    <col width="14" customWidth="1" min="6" max="6"/>
    <col width="16" customWidth="1" min="7" max="7"/>
    <col width="16" customWidth="1" min="8" max="8"/>
    <col width="18" customWidth="1" min="9" max="9"/>
    <col width="16" customWidth="1" min="10" max="10"/>
    <col width="16" customWidth="1" min="11" max="11"/>
    <col width="18" customWidth="1" min="12" max="12"/>
    <col width="18" customWidth="1" min="13" max="13"/>
    <col width="22" customWidth="1" min="14" max="14"/>
    <col width="18" customWidth="1" min="15" max="15"/>
    <col width="20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 ht="30" customHeight="1">
      <c r="A1" s="14" t="inlineStr">
        <is>
          <t>食材ID</t>
        </is>
      </c>
      <c r="B1" s="14" t="inlineStr">
        <is>
          <t>显示名称</t>
        </is>
      </c>
      <c r="C1" s="14" t="inlineStr">
        <is>
          <t>攻击类型</t>
        </is>
      </c>
      <c r="D1" s="14" t="inlineStr">
        <is>
          <t>初始瞄准</t>
        </is>
      </c>
      <c r="E1" s="14" t="inlineStr">
        <is>
          <t>初始追踪</t>
        </is>
      </c>
      <c r="F1" s="14" t="inlineStr">
        <is>
          <t>基础满足</t>
        </is>
      </c>
      <c r="G1" s="14" t="inlineStr">
        <is>
          <t>基础间隔(s)</t>
        </is>
      </c>
      <c r="H1" s="14" t="inlineStr">
        <is>
          <t>弹速(px/s)</t>
        </is>
      </c>
      <c r="I1" s="14" t="inlineStr">
        <is>
          <t>碰撞半径(px)</t>
        </is>
      </c>
      <c r="J1" s="14" t="inlineStr">
        <is>
          <t>持续时间(s)</t>
        </is>
      </c>
      <c r="K1" s="14" t="inlineStr">
        <is>
          <t>命中目标数</t>
        </is>
      </c>
      <c r="L1" s="14" t="inlineStr">
        <is>
          <t>追踪转向速度</t>
        </is>
      </c>
      <c r="M1" s="14" t="inlineStr">
        <is>
          <t>环绕半径(px)</t>
        </is>
      </c>
      <c r="N1" s="14" t="inlineStr">
        <is>
          <t>环绕角速度(rad/s)</t>
        </is>
      </c>
      <c r="O1" s="14" t="inlineStr">
        <is>
          <t>呼吸周期(s)</t>
        </is>
      </c>
      <c r="P1" s="14" t="inlineStr">
        <is>
          <t>呼吸外圈倍率</t>
        </is>
      </c>
      <c r="Q1" s="14" t="inlineStr">
        <is>
          <t>颜色HEX</t>
        </is>
      </c>
      <c r="R1" s="14" t="inlineStr">
        <is>
          <t>攻速强化倍率</t>
        </is>
      </c>
      <c r="S1" s="14" t="inlineStr">
        <is>
          <t>酒强化倍率</t>
        </is>
      </c>
      <c r="T1" s="14" t="inlineStr">
        <is>
          <t>范围强化倍率</t>
        </is>
      </c>
      <c r="U1" s="14" t="inlineStr">
        <is>
          <t>持续强化倍率</t>
        </is>
      </c>
    </row>
    <row r="2">
      <c r="A2" s="31" t="inlineStr">
        <is>
          <t>potato</t>
        </is>
      </c>
      <c r="B2" s="31" t="inlineStr">
        <is>
          <t>土豆</t>
        </is>
      </c>
      <c r="C2" s="31" t="inlineStr">
        <is>
          <t>projectile</t>
        </is>
      </c>
      <c r="D2" s="31" t="inlineStr">
        <is>
          <t>fixed_forward</t>
        </is>
      </c>
      <c r="E2" s="31" t="inlineStr">
        <is>
          <t>none</t>
        </is>
      </c>
      <c r="F2" s="55" t="n">
        <v>10</v>
      </c>
      <c r="G2" s="55" t="n">
        <v>0.8</v>
      </c>
      <c r="H2" s="55" t="n">
        <v>760</v>
      </c>
      <c r="I2" s="55" t="n">
        <v>17</v>
      </c>
      <c r="J2" s="55" t="n">
        <v>1.3473684</v>
      </c>
      <c r="K2" s="56" t="n">
        <v>1</v>
      </c>
      <c r="L2" s="55" t="n">
        <v>4.5</v>
      </c>
      <c r="M2" s="55" t="n">
        <v>120</v>
      </c>
      <c r="N2" s="55" t="n">
        <v>3.2</v>
      </c>
      <c r="O2" s="55" t="n">
        <v>1.2</v>
      </c>
      <c r="P2" s="55" t="n">
        <v>2</v>
      </c>
      <c r="Q2" s="37" t="inlineStr">
        <is>
          <t>#E3B54A</t>
        </is>
      </c>
      <c r="R2" s="55" t="n">
        <v>1</v>
      </c>
      <c r="S2" s="55" t="n">
        <v>1</v>
      </c>
      <c r="T2" s="55" t="n">
        <v>1</v>
      </c>
      <c r="U2" s="55" t="n">
        <v>1</v>
      </c>
    </row>
    <row r="3">
      <c r="A3" s="33" t="inlineStr">
        <is>
          <t>baguette</t>
        </is>
      </c>
      <c r="B3" s="33" t="inlineStr">
        <is>
          <t>法棍</t>
        </is>
      </c>
      <c r="C3" s="33" t="inlineStr">
        <is>
          <t>piercing_projectile</t>
        </is>
      </c>
      <c r="D3" s="33" t="inlineStr">
        <is>
          <t>target_snapshot</t>
        </is>
      </c>
      <c r="E3" s="33" t="inlineStr">
        <is>
          <t>none</t>
        </is>
      </c>
      <c r="F3" s="57" t="n">
        <v>15</v>
      </c>
      <c r="G3" s="57" t="n">
        <v>1.2</v>
      </c>
      <c r="H3" s="57" t="n">
        <v>680</v>
      </c>
      <c r="I3" s="57" t="n">
        <v>14</v>
      </c>
      <c r="J3" s="57" t="n">
        <v>1.1294118</v>
      </c>
      <c r="K3" s="58" t="n">
        <v>3</v>
      </c>
      <c r="L3" s="57" t="n">
        <v>4.5</v>
      </c>
      <c r="M3" s="57" t="n">
        <v>120</v>
      </c>
      <c r="N3" s="57" t="n">
        <v>3.2</v>
      </c>
      <c r="O3" s="57" t="n">
        <v>1.2</v>
      </c>
      <c r="P3" s="57" t="n">
        <v>2</v>
      </c>
      <c r="Q3" s="38" t="inlineStr">
        <is>
          <t>#D97A2E</t>
        </is>
      </c>
      <c r="R3" s="55" t="n">
        <v>1</v>
      </c>
      <c r="S3" s="55" t="n">
        <v>1</v>
      </c>
      <c r="T3" s="55" t="n">
        <v>1</v>
      </c>
      <c r="U3" s="55" t="n">
        <v>1</v>
      </c>
    </row>
    <row r="4">
      <c r="A4" s="35" t="inlineStr">
        <is>
          <t>mushroom</t>
        </is>
      </c>
      <c r="B4" s="35" t="inlineStr">
        <is>
          <t>蘑菇</t>
        </is>
      </c>
      <c r="C4" s="35" t="inlineStr">
        <is>
          <t>orbiting_mushroom</t>
        </is>
      </c>
      <c r="D4" s="35" t="inlineStr">
        <is>
          <t>fixed_forward</t>
        </is>
      </c>
      <c r="E4" s="35" t="inlineStr">
        <is>
          <t>none</t>
        </is>
      </c>
      <c r="F4" s="59" t="n">
        <v>10</v>
      </c>
      <c r="G4" s="59" t="n">
        <v>0.6</v>
      </c>
      <c r="H4" s="59" t="n">
        <v>0</v>
      </c>
      <c r="I4" s="59" t="n">
        <v>22</v>
      </c>
      <c r="J4" s="59" t="n">
        <v>4</v>
      </c>
      <c r="K4" s="60" t="n">
        <v>1</v>
      </c>
      <c r="L4" s="59" t="n">
        <v>4.5</v>
      </c>
      <c r="M4" s="59" t="n">
        <v>100</v>
      </c>
      <c r="N4" s="59" t="n">
        <v>3.2</v>
      </c>
      <c r="O4" s="59" t="n">
        <v>1.2</v>
      </c>
      <c r="P4" s="59" t="n">
        <v>2</v>
      </c>
      <c r="Q4" s="39" t="inlineStr">
        <is>
          <t>#73A84F</t>
        </is>
      </c>
      <c r="R4" s="55" t="n">
        <v>1</v>
      </c>
      <c r="S4" s="55" t="n">
        <v>1</v>
      </c>
      <c r="T4" s="55" t="n">
        <v>0.5</v>
      </c>
      <c r="U4" s="55" t="n">
        <v>0.5</v>
      </c>
    </row>
  </sheetData>
  <dataValidations count="3">
    <dataValidation sqref="C2:C4" showDropDown="0" showInputMessage="0" showErrorMessage="0" allowBlank="0" type="list">
      <formula1>"projectile,piercing_projectile,orbiting_mushroom"</formula1>
    </dataValidation>
    <dataValidation sqref="D2:D4" showDropDown="0" showInputMessage="0" showErrorMessage="0" allowBlank="0" type="list">
      <formula1>"fixed_forward,target_snapshot"</formula1>
    </dataValidation>
    <dataValidation sqref="E2:E4" showDropDown="0" showInputMessage="0" showErrorMessage="0" allowBlank="0" type="list">
      <formula1>"none,homing"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6" customWidth="1" min="3" max="3"/>
    <col width="18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0" customWidth="1" min="10" max="10"/>
  </cols>
  <sheetData>
    <row r="1" ht="30" customHeight="1">
      <c r="A1" s="14" t="inlineStr">
        <is>
          <t>配置ID</t>
        </is>
      </c>
      <c r="B1" s="14" t="inlineStr">
        <is>
          <t>来源食材ID</t>
        </is>
      </c>
      <c r="C1" s="14" t="inlineStr">
        <is>
          <t>基础间隔(s)</t>
        </is>
      </c>
      <c r="D1" s="14" t="inlineStr">
        <is>
          <t>攻速强化倍率</t>
        </is>
      </c>
      <c r="E1" s="14" t="inlineStr">
        <is>
          <t>最小间隔(s)</t>
        </is>
      </c>
      <c r="F1" s="14" t="inlineStr">
        <is>
          <t>宽度区域数</t>
        </is>
      </c>
      <c r="G1" s="14" t="inlineStr">
        <is>
          <t>命中目标数</t>
        </is>
      </c>
      <c r="H1" s="14" t="inlineStr">
        <is>
          <t>持续倍率</t>
        </is>
      </c>
      <c r="I1" s="14" t="inlineStr">
        <is>
          <t>满足倍率</t>
        </is>
      </c>
      <c r="J1" s="14" t="inlineStr">
        <is>
          <t>启用</t>
        </is>
      </c>
    </row>
    <row r="2">
      <c r="A2" s="31" t="inlineStr">
        <is>
          <t>baguette_giant</t>
        </is>
      </c>
      <c r="B2" s="31" t="inlineStr">
        <is>
          <t>baguette</t>
        </is>
      </c>
      <c r="C2" s="55" t="n">
        <v>3</v>
      </c>
      <c r="D2" s="55" t="n">
        <v>0.05</v>
      </c>
      <c r="E2" s="55" t="n">
        <v>1</v>
      </c>
      <c r="F2" s="55" t="n">
        <v>4</v>
      </c>
      <c r="G2" s="55" t="n">
        <v>999</v>
      </c>
      <c r="H2" s="55" t="n">
        <v>1.5</v>
      </c>
      <c r="I2" s="55" t="n">
        <v>3</v>
      </c>
      <c r="J2" s="55" t="n">
        <v>1</v>
      </c>
    </row>
  </sheetData>
  <autoFilter ref="A1:J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48" customWidth="1" min="3" max="3"/>
  </cols>
  <sheetData>
    <row r="1" ht="30" customHeight="1">
      <c r="A1" s="14" t="inlineStr">
        <is>
          <t>参数ID</t>
        </is>
      </c>
      <c r="B1" s="14" t="inlineStr">
        <is>
          <t>数值</t>
        </is>
      </c>
      <c r="C1" s="14" t="inlineStr">
        <is>
          <t>说明</t>
        </is>
      </c>
    </row>
    <row r="2">
      <c r="A2" s="17" t="inlineStr">
        <is>
          <t>schema_id</t>
        </is>
      </c>
      <c r="B2" s="31" t="inlineStr">
        <is>
          <t>xiaochuxi.weapons</t>
        </is>
      </c>
      <c r="C2" s="17" t="inlineStr">
        <is>
          <t>武器表结构标识，请勿修改</t>
        </is>
      </c>
    </row>
    <row r="3">
      <c r="A3" s="19" t="inlineStr">
        <is>
          <t>schema_version</t>
        </is>
      </c>
      <c r="B3" s="35" t="n">
        <v>1</v>
      </c>
      <c r="C3" s="19" t="inlineStr">
        <is>
          <t>结构版本，请勿修改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4" customWidth="1" min="2" max="2"/>
  </cols>
  <sheetData>
    <row r="1" ht="30" customHeight="1">
      <c r="A1" s="14" t="inlineStr">
        <is>
          <t>项目</t>
        </is>
      </c>
      <c r="B1" s="14" t="inlineStr">
        <is>
          <t>说明</t>
        </is>
      </c>
    </row>
    <row r="2" ht="42" customHeight="1">
      <c r="A2" s="31" t="inlineStr">
        <is>
          <t>生效方式</t>
        </is>
      </c>
      <c r="B2" s="46" t="inlineStr">
        <is>
          <t>保存并关闭工作簿后，重新开始本局或重新运行 run_3d.tscn。运行中的既有单局不会热替换武器。</t>
        </is>
      </c>
    </row>
    <row r="3" ht="42" customHeight="1">
      <c r="A3" s="33" t="inlineStr">
        <is>
          <t>输入颜色</t>
        </is>
      </c>
      <c r="B3" s="47" t="inlineStr">
        <is>
          <t>黄色是常用数值输入；绿色是标识和枚举字段，只有确认调用关系后再修改。</t>
        </is>
      </c>
    </row>
    <row r="4" ht="42" customHeight="1">
      <c r="A4" s="33" t="inlineStr">
        <is>
          <t>范围关系</t>
        </is>
      </c>
      <c r="B4" s="47" t="inlineStr">
        <is>
          <t>投射武器射程由弹速 × 持续时间决定；环绕武器主要读取环绕半径和角速度。</t>
        </is>
      </c>
    </row>
    <row r="5" ht="42" customHeight="1">
      <c r="A5" s="33" t="inlineStr">
        <is>
          <t>结构限制</t>
        </is>
      </c>
      <c r="B5" s="47" t="inlineStr">
        <is>
          <t>新增食材或衍生攻击行只提供数值，不会自动生成正式模型、动画或新的特殊强化卡。</t>
        </is>
      </c>
    </row>
    <row r="6" ht="42" customHeight="1">
      <c r="A6" s="35" t="inlineStr">
        <is>
          <t>失败回退</t>
        </is>
      </c>
      <c r="B6" s="48" t="inlineStr">
        <is>
          <t>文件缺失、字段非法或结构不匹配时，游戏使用 scenes/run_3d.tscn 中装配的 data/foods/*.tres。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2026-07-28T16:59:18Z</dcterms:created>
  <dcterms:modified xmlns:dcterms="http://purl.org/dc/terms/" xmlns:xsi="http://www.w3.org/2001/XMLSchema-instance" xsi:type="dcterms:W3CDTF">2026-07-28T17:07:06Z</dcterms:modified>
</cp:coreProperties>
</file>