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9a115c864048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武器预览" sheetId="1" r:id="Ra07645114aef4ad6"/>
    <x:sheet xmlns:r="http://schemas.openxmlformats.org/officeDocument/2006/relationships" name="武器" sheetId="2" r:id="Ra69e67c6e25c45f0"/>
    <x:sheet xmlns:r="http://schemas.openxmlformats.org/officeDocument/2006/relationships" name="配置" sheetId="3" r:id="Rba9c58b99d934fe9"/>
    <x:sheet xmlns:r="http://schemas.openxmlformats.org/officeDocument/2006/relationships" name="说明" sheetId="4" r:id="Rbbb3f50414eb4b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5">
    <x:font>
      <x:sz val="11"/>
      <x:name val="Carlito"/>
    </x:font>
    <x:font>
      <x:b/>
      <x:sz val="18"/>
      <x:color rgb="FFFFFFFF"/>
      <x:name val="Microsoft YaHei"/>
    </x:font>
    <x:font>
      <x:sz val="10"/>
      <x:color rgb="FF243238"/>
      <x:name val="Microsoft YaHei"/>
    </x:font>
    <x:font>
      <x:b/>
      <x:sz val="11"/>
      <x:color rgb="FFFFFFFF"/>
      <x:name val="Microsoft YaHei"/>
    </x:font>
    <x:font>
      <x:b/>
      <x:sz val="10"/>
      <x:color rgb="FFFFFFFF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243238"/>
      </x:patternFill>
    </x:fill>
    <x:fill>
      <x:patternFill patternType="solid">
        <x:fgColor rgb="FFF5F7F6"/>
      </x:patternFill>
    </x:fill>
    <x:fill>
      <x:patternFill patternType="solid">
        <x:fgColor rgb="FF2D6F6A"/>
      </x:patternFill>
    </x:fill>
    <x:fill>
      <x:patternFill patternType="solid">
        <x:fgColor rgb="FFE7F0F8"/>
      </x:patternFill>
    </x:fill>
    <x:fill>
      <x:patternFill patternType="solid">
        <x:fgColor rgb="FFE8F3EC"/>
      </x:patternFill>
    </x:fill>
    <x:fill>
      <x:patternFill patternType="solid">
        <x:fgColor rgb="FFFFF3CD"/>
      </x:patternFill>
    </x:fill>
  </x:fills>
  <x:borders count="4">
    <x:border/>
    <x:border>
      <x:bottom style="thin">
        <x:color rgb="FFD7DDD9"/>
      </x:bottom>
    </x:border>
    <x:border>
      <x:top style="thin">
        <x:color rgb="FFD7DDD9"/>
      </x:top>
      <x:bottom style="thin">
        <x:color rgb="FFD7DDD9"/>
      </x:bottom>
    </x:border>
    <x:border>
      <x:top style="thin">
        <x:color rgb="FFD7DDD9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center"/>
    </x:xf>
    <x:xf numFmtId="0" fontId="2" fillId="5" borderId="2" xfId="0" applyNumberFormat="1" applyFont="1" applyFill="1" applyBorder="1" applyAlignment="1">
      <x:alignment vertical="center"/>
    </x:xf>
    <x:xf numFmtId="0" fontId="2" fillId="5" borderId="3" xfId="0" applyNumberFormat="1" applyFont="1" applyFill="1" applyBorder="1" applyAlignment="1">
      <x:alignment vertical="center"/>
    </x:xf>
    <x:xf numFmtId="200" fontId="2" fillId="5" borderId="1" xfId="0" applyNumberFormat="1" applyFont="1" applyFill="1" applyBorder="1" applyAlignment="1">
      <x:alignment vertical="center"/>
    </x:xf>
    <x:xf numFmtId="200" fontId="2" fillId="5" borderId="2" xfId="0" applyNumberFormat="1" applyFont="1" applyFill="1" applyBorder="1" applyAlignment="1">
      <x:alignment vertical="center"/>
    </x:xf>
    <x:xf numFmtId="200" fontId="2" fillId="5" borderId="3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6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6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vertical="center"/>
    </x:xf>
    <x:xf numFmtId="0" fontId="2" fillId="7" borderId="2" xfId="0" applyNumberFormat="1" applyFont="1" applyFill="1" applyBorder="1" applyAlignment="1">
      <x:alignment vertical="center"/>
    </x:xf>
    <x:xf numFmtId="0" fontId="2" fillId="7" borderId="3" xfId="0" applyNumberFormat="1" applyFont="1" applyFill="1" applyBorder="1" applyAlignment="1">
      <x:alignment vertical="center"/>
    </x:xf>
    <x:xf numFmtId="200" fontId="2" fillId="7" borderId="1" xfId="0" applyNumberFormat="1" applyFont="1" applyFill="1" applyBorder="1" applyAlignment="1">
      <x:alignment vertical="center"/>
    </x:xf>
    <x:xf numFmtId="200" fontId="2" fillId="7" borderId="2" xfId="0" applyNumberFormat="1" applyFont="1" applyFill="1" applyBorder="1" applyAlignment="1">
      <x:alignment vertical="center"/>
    </x:xf>
    <x:xf numFmtId="200" fontId="2" fillId="7" borderId="3" xfId="0" applyNumberFormat="1" applyFont="1" applyFill="1" applyBorder="1" applyAlignment="1">
      <x:alignment vertical="center"/>
    </x:xf>
    <x:xf numFmtId="201" fontId="2" fillId="7" borderId="1" xfId="0" applyNumberFormat="1" applyFont="1" applyFill="1" applyBorder="1" applyAlignment="1">
      <x:alignment vertical="center"/>
    </x:xf>
    <x:xf numFmtId="201" fontId="2" fillId="7" borderId="2" xfId="0" applyNumberFormat="1" applyFont="1" applyFill="1" applyBorder="1" applyAlignment="1">
      <x:alignment vertical="center"/>
    </x:xf>
    <x:xf numFmtId="201" fontId="2" fillId="7" borderId="3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6128bd9e654342" /><Relationship Type="http://schemas.openxmlformats.org/officeDocument/2006/relationships/theme" Target="/xl/theme/theme1.xml" Id="Rd4de4dbd4fd94cf5" /><Relationship Type="http://schemas.openxmlformats.org/officeDocument/2006/relationships/sharedStrings" Target="/xl/sharedStrings.xml" Id="Ra61ce060e73f493e" /><Relationship Type="http://schemas.openxmlformats.org/officeDocument/2006/relationships/worksheet" Target="/xl/worksheets/sheet1.xml" Id="Ra07645114aef4ad6" /><Relationship Type="http://schemas.openxmlformats.org/officeDocument/2006/relationships/worksheet" Target="/xl/worksheets/sheet2.xml" Id="Ra69e67c6e25c45f0" /><Relationship Type="http://schemas.openxmlformats.org/officeDocument/2006/relationships/worksheet" Target="/xl/worksheets/sheet3.xml" Id="Rba9c58b99d934fe9" /><Relationship Type="http://schemas.openxmlformats.org/officeDocument/2006/relationships/worksheet" Target="/xl/worksheets/sheet4.xml" Id="Rbbb3f50414eb4b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52430e5860f4be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未强化理论每秒满足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理论每秒满足</c:v>
          </c:tx>
          <c:cat>
            <c:strRef>
              <c:f>'武器预览'!$I$7:$I$9</c:f>
              <c:strCache>
                <c:ptCount val="0"/>
              </c:strCache>
            </c:strRef>
          </c:cat>
          <c:val>
            <c:numRef>
              <c:f>'武器预览'!$J$7:$J$9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2430e5860f4be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eaponBalanceTable" displayName="WeaponBalanceTable" ref="A1:Q4" headerRowCount="1" totalsRowCount="0" totalsRowShown="0">
  <x:tableColumns count="17">
    <x:tableColumn id="1" name="食材ID"/>
    <x:tableColumn id="2" name="显示名称"/>
    <x:tableColumn id="3" name="攻击类型"/>
    <x:tableColumn id="4" name="初始瞄准"/>
    <x:tableColumn id="5" name="初始追踪"/>
    <x:tableColumn id="6" name="基础满足"/>
    <x:tableColumn id="7" name="基础间隔(s)"/>
    <x:tableColumn id="8" name="弹速(px/s)"/>
    <x:tableColumn id="9" name="碰撞半径(px)"/>
    <x:tableColumn id="10" name="持续时间(s)"/>
    <x:tableColumn id="11" name="命中目标数"/>
    <x:tableColumn id="12" name="追踪转向速度"/>
    <x:tableColumn id="13" name="环绕半径(px)"/>
    <x:tableColumn id="14" name="环绕角速度(rad/s)"/>
    <x:tableColumn id="15" name="呼吸周期(s)"/>
    <x:tableColumn id="16" name="呼吸外圈倍率"/>
    <x:tableColumn id="17" name="颜色HEX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xiaochuxi_weapons_config" displayName="xiaochuxi_weapons_config" ref="A1:C3" headerRowCount="1" totalsRowCount="0" totalsRowShown="0">
  <x:tableColumns count="3">
    <x:tableColumn id="1" name="参数ID"/>
    <x:tableColumn id="2" name="数值"/>
    <x:tableColumn id="3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aponNotesTable" displayName="WeaponNotesTable" ref="A1:B6" headerRowCount="1" totalsRowCount="0" totalsRowShown="0">
  <x:tableColumns count="2">
    <x:tableColumn id="1" name="项目"/>
    <x:tableColumn id="2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e2ce1ad440046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bc29388e6e4b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62e8d170d8a41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7c562485364e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8" hidden="0" customWidth="1"/>
    <x:col min="4" max="4" width="20" hidden="0" customWidth="1"/>
    <x:col min="5" max="5" width="18" hidden="0" customWidth="1"/>
    <x:col min="6" max="6" width="16" hidden="0" customWidth="1"/>
    <x:col min="7" max="7" width="24" hidden="0" customWidth="1"/>
    <x:col min="8" max="8" width="4" hidden="0" customWidth="1"/>
    <x:col min="9" max="9" width="16" hidden="0" customWidth="1"/>
    <x:col min="10" max="10" width="1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8" customHeight="1">
      <x:c r="A1" s="3" t="str">
        <x:v>小厨西 · 武器数值预览</x:v>
      </x:c>
      <x:c r="B1" s="3" t="str">
        <x:v>小厨西 · 武器数值预览</x:v>
      </x:c>
      <x:c r="C1" s="3" t="str">
        <x:v>小厨西 · 武器数值预览</x:v>
      </x:c>
      <x:c r="D1" s="3" t="str">
        <x:v>小厨西 · 武器数值预览</x:v>
      </x:c>
      <x:c r="E1" s="3" t="str">
        <x:v>小厨西 · 武器数值预览</x:v>
      </x:c>
      <x:c r="F1" s="3" t="str">
        <x:v>小厨西 · 武器数值预览</x:v>
      </x:c>
      <x:c r="G1" s="3" t="str">
        <x:v>小厨西 · 武器数值预览</x:v>
      </x:c>
      <x:c r="H1" s="3" t="str">
        <x:v>小厨西 · 武器数值预览</x:v>
      </x:c>
      <x:c r="I1" s="3" t="str">
        <x:v>小厨西 · 武器数值预览</x:v>
      </x:c>
      <x:c r="J1" s="3" t="str">
        <x:v>小厨西 · 武器数值预览</x:v>
      </x:c>
      <x:c r="K1" s="3" t="str">
        <x:v>小厨西 · 武器数值预览</x:v>
      </x:c>
      <x:c r="L1" s="3" t="str">
        <x:v>小厨西 · 武器数值预览</x:v>
      </x:c>
      <x:c r="M1" s="3" t="str">
        <x:v>小厨西 · 武器数值预览</x:v>
      </x:c>
      <x:c r="N1" s="3" t="str">
        <x:v>小厨西 · 武器数值预览</x:v>
      </x:c>
    </x:row>
    <x:row r="2">
      <x:c r="A2" s="7" t="str">
        <x:v>本页由“武器”页黄色数值自动计算。理论每秒满足仅用于横向比较，不包含等级、普通强化、加量、穿透、目标数量与实战空窗。</x:v>
      </x:c>
      <x:c r="B2" s="7" t="str">
        <x:v>本页由“武器”页黄色数值自动计算。理论每秒满足仅用于横向比较，不包含等级、普通强化、加量、穿透、目标数量与实战空窗。</x:v>
      </x:c>
      <x:c r="C2" s="7" t="str">
        <x:v>本页由“武器”页黄色数值自动计算。理论每秒满足仅用于横向比较，不包含等级、普通强化、加量、穿透、目标数量与实战空窗。</x:v>
      </x:c>
      <x:c r="D2" s="7" t="str">
        <x:v>本页由“武器”页黄色数值自动计算。理论每秒满足仅用于横向比较，不包含等级、普通强化、加量、穿透、目标数量与实战空窗。</x:v>
      </x:c>
      <x:c r="E2" s="7" t="str">
        <x:v>本页由“武器”页黄色数值自动计算。理论每秒满足仅用于横向比较，不包含等级、普通强化、加量、穿透、目标数量与实战空窗。</x:v>
      </x:c>
      <x:c r="F2" s="7" t="str">
        <x:v>本页由“武器”页黄色数值自动计算。理论每秒满足仅用于横向比较，不包含等级、普通强化、加量、穿透、目标数量与实战空窗。</x:v>
      </x:c>
      <x:c r="G2" s="7" t="str">
        <x:v>本页由“武器”页黄色数值自动计算。理论每秒满足仅用于横向比较，不包含等级、普通强化、加量、穿透、目标数量与实战空窗。</x:v>
      </x:c>
      <x:c r="H2" s="7" t="str">
        <x:v>本页由“武器”页黄色数值自动计算。理论每秒满足仅用于横向比较，不包含等级、普通强化、加量、穿透、目标数量与实战空窗。</x:v>
      </x:c>
      <x:c r="I2" s="7" t="str">
        <x:v>本页由“武器”页黄色数值自动计算。理论每秒满足仅用于横向比较，不包含等级、普通强化、加量、穿透、目标数量与实战空窗。</x:v>
      </x:c>
      <x:c r="J2" s="7" t="str">
        <x:v>本页由“武器”页黄色数值自动计算。理论每秒满足仅用于横向比较，不包含等级、普通强化、加量、穿透、目标数量与实战空窗。</x:v>
      </x:c>
      <x:c r="K2" s="7" t="str">
        <x:v>本页由“武器”页黄色数值自动计算。理论每秒满足仅用于横向比较，不包含等级、普通强化、加量、穿透、目标数量与实战空窗。</x:v>
      </x:c>
      <x:c r="L2" s="7" t="str">
        <x:v>本页由“武器”页黄色数值自动计算。理论每秒满足仅用于横向比较，不包含等级、普通强化、加量、穿透、目标数量与实战空窗。</x:v>
      </x:c>
      <x:c r="M2" s="7" t="str">
        <x:v>本页由“武器”页黄色数值自动计算。理论每秒满足仅用于横向比较，不包含等级、普通强化、加量、穿透、目标数量与实战空窗。</x:v>
      </x:c>
      <x:c r="N2" s="7" t="str">
        <x:v>本页由“武器”页黄色数值自动计算。理论每秒满足仅用于横向比较，不包含等级、普通强化、加量、穿透、目标数量与实战空窗。</x:v>
      </x:c>
    </x:row>
    <x:row r="3">
      <x:c r="A3" s="7" t="str">
        <x:v>本页由“武器”页黄色数值自动计算。理论每秒满足仅用于横向比较，不包含等级、普通强化、加量、穿透、目标数量与实战空窗。</x:v>
      </x:c>
      <x:c r="B3" s="7" t="str">
        <x:v>本页由“武器”页黄色数值自动计算。理论每秒满足仅用于横向比较，不包含等级、普通强化、加量、穿透、目标数量与实战空窗。</x:v>
      </x:c>
      <x:c r="C3" s="7" t="str">
        <x:v>本页由“武器”页黄色数值自动计算。理论每秒满足仅用于横向比较，不包含等级、普通强化、加量、穿透、目标数量与实战空窗。</x:v>
      </x:c>
      <x:c r="D3" s="7" t="str">
        <x:v>本页由“武器”页黄色数值自动计算。理论每秒满足仅用于横向比较，不包含等级、普通强化、加量、穿透、目标数量与实战空窗。</x:v>
      </x:c>
      <x:c r="E3" s="7" t="str">
        <x:v>本页由“武器”页黄色数值自动计算。理论每秒满足仅用于横向比较，不包含等级、普通强化、加量、穿透、目标数量与实战空窗。</x:v>
      </x:c>
      <x:c r="F3" s="7" t="str">
        <x:v>本页由“武器”页黄色数值自动计算。理论每秒满足仅用于横向比较，不包含等级、普通强化、加量、穿透、目标数量与实战空窗。</x:v>
      </x:c>
      <x:c r="G3" s="7" t="str">
        <x:v>本页由“武器”页黄色数值自动计算。理论每秒满足仅用于横向比较，不包含等级、普通强化、加量、穿透、目标数量与实战空窗。</x:v>
      </x:c>
      <x:c r="H3" s="7" t="str">
        <x:v>本页由“武器”页黄色数值自动计算。理论每秒满足仅用于横向比较，不包含等级、普通强化、加量、穿透、目标数量与实战空窗。</x:v>
      </x:c>
      <x:c r="I3" s="7" t="str">
        <x:v>本页由“武器”页黄色数值自动计算。理论每秒满足仅用于横向比较，不包含等级、普通强化、加量、穿透、目标数量与实战空窗。</x:v>
      </x:c>
      <x:c r="J3" s="7" t="str">
        <x:v>本页由“武器”页黄色数值自动计算。理论每秒满足仅用于横向比较，不包含等级、普通强化、加量、穿透、目标数量与实战空窗。</x:v>
      </x:c>
      <x:c r="K3" s="7" t="str">
        <x:v>本页由“武器”页黄色数值自动计算。理论每秒满足仅用于横向比较，不包含等级、普通强化、加量、穿透、目标数量与实战空窗。</x:v>
      </x:c>
      <x:c r="L3" s="7" t="str">
        <x:v>本页由“武器”页黄色数值自动计算。理论每秒满足仅用于横向比较，不包含等级、普通强化、加量、穿透、目标数量与实战空窗。</x:v>
      </x:c>
      <x:c r="M3" s="7" t="str">
        <x:v>本页由“武器”页黄色数值自动计算。理论每秒满足仅用于横向比较，不包含等级、普通强化、加量、穿透、目标数量与实战空窗。</x:v>
      </x:c>
      <x:c r="N3" s="7" t="str">
        <x:v>本页由“武器”页黄色数值自动计算。理论每秒满足仅用于横向比较，不包含等级、普通强化、加量、穿透、目标数量与实战空窗。</x:v>
      </x:c>
    </x:row>
    <x:row r="5" ht="28" customHeight="1">
      <x:c r="A5" s="10" t="str">
        <x:v>基础输出与射程对比</x:v>
      </x:c>
      <x:c r="B5" s="10" t="str">
        <x:v>基础输出与射程对比</x:v>
      </x:c>
      <x:c r="C5" s="10" t="str">
        <x:v>基础输出与射程对比</x:v>
      </x:c>
      <x:c r="D5" s="10" t="str">
        <x:v>基础输出与射程对比</x:v>
      </x:c>
      <x:c r="E5" s="10" t="str">
        <x:v>基础输出与射程对比</x:v>
      </x:c>
      <x:c r="F5" s="10" t="str">
        <x:v>基础输出与射程对比</x:v>
      </x:c>
      <x:c r="G5" s="10" t="str">
        <x:v>基础输出与射程对比</x:v>
      </x:c>
      <x:c r="H5" s="10" t="str">
        <x:v>基础输出与射程对比</x:v>
      </x:c>
      <x:c r="I5" s="10" t="str">
        <x:v>基础输出与射程对比</x:v>
      </x:c>
      <x:c r="J5" s="10" t="str">
        <x:v>基础输出与射程对比</x:v>
      </x:c>
      <x:c r="K5" s="10" t="str">
        <x:v>基础输出与射程对比</x:v>
      </x:c>
      <x:c r="L5" s="10" t="str">
        <x:v>基础输出与射程对比</x:v>
      </x:c>
      <x:c r="M5" s="10" t="str">
        <x:v>基础输出与射程对比</x:v>
      </x:c>
      <x:c r="N5" s="10" t="str">
        <x:v>基础输出与射程对比</x:v>
      </x:c>
    </x:row>
    <x:row r="6" ht="30" customHeight="1">
      <x:c r="A6" s="14" t="str">
        <x:v>食材</x:v>
      </x:c>
      <x:c r="B6" s="14" t="str">
        <x:v>基础满足</x:v>
      </x:c>
      <x:c r="C6" s="14" t="str">
        <x:v>基础间隔(s)</x:v>
      </x:c>
      <x:c r="D6" s="14" t="str">
        <x:v>理论每秒满足</x:v>
      </x:c>
      <x:c r="E6" s="14" t="str">
        <x:v>基础射程(px)</x:v>
      </x:c>
      <x:c r="F6" s="14" t="str">
        <x:v>命中目标数</x:v>
      </x:c>
      <x:c r="G6" s="14" t="str">
        <x:v>攻击类型</x:v>
      </x:c>
      <x:c r="I6" s="14" t="str">
        <x:v>食材</x:v>
      </x:c>
      <x:c r="J6" s="14" t="str">
        <x:v>理论每秒满足</x:v>
      </x:c>
    </x:row>
    <x:row r="7">
      <x:c r="A7" s="20" t="str">
        <x:f>'武器'!B2</x:f>
        <x:v>土豆</x:v>
      </x:c>
      <x:c r="B7" s="23" t="n">
        <x:f>'武器'!F2</x:f>
        <x:v>10</x:v>
      </x:c>
      <x:c r="C7" s="23" t="n">
        <x:f>'武器'!G2</x:f>
        <x:v>0.8</x:v>
      </x:c>
      <x:c r="D7" s="23" t="n">
        <x:f>B7/C7</x:f>
        <x:v>12.5</x:v>
      </x:c>
      <x:c r="E7" s="23" t="n">
        <x:f>'武器'!H2*'武器'!J2</x:f>
        <x:v>1023.9999839999999</x:v>
      </x:c>
      <x:c r="F7" s="20" t="n">
        <x:f>'武器'!K2</x:f>
        <x:v>1</x:v>
      </x:c>
      <x:c r="G7" s="20" t="str">
        <x:f>'武器'!C2</x:f>
        <x:v>projectile</x:v>
      </x:c>
      <x:c r="I7" s="26" t="str">
        <x:f>A7</x:f>
        <x:v>土豆</x:v>
      </x:c>
      <x:c r="J7" s="26" t="n">
        <x:f>D7</x:f>
        <x:v>12.5</x:v>
      </x:c>
    </x:row>
    <x:row r="8">
      <x:c r="A8" s="21" t="str">
        <x:f>'武器'!B3</x:f>
        <x:v>法棍</x:v>
      </x:c>
      <x:c r="B8" s="24" t="n">
        <x:f>'武器'!F3</x:f>
        <x:v>15</x:v>
      </x:c>
      <x:c r="C8" s="24" t="n">
        <x:f>'武器'!G3</x:f>
        <x:v>1.2</x:v>
      </x:c>
      <x:c r="D8" s="24" t="n">
        <x:f>B8/C8</x:f>
        <x:v>12.5</x:v>
      </x:c>
      <x:c r="E8" s="24" t="n">
        <x:f>'武器'!H3*'武器'!J3</x:f>
        <x:v>768.0000239999999</x:v>
      </x:c>
      <x:c r="F8" s="21" t="n">
        <x:f>'武器'!K3</x:f>
        <x:v>3</x:v>
      </x:c>
      <x:c r="G8" s="21" t="str">
        <x:f>'武器'!C3</x:f>
        <x:v>piercing_projectile</x:v>
      </x:c>
      <x:c r="I8" s="26" t="str">
        <x:f>A8</x:f>
        <x:v>法棍</x:v>
      </x:c>
      <x:c r="J8" s="26" t="n">
        <x:f>D8</x:f>
        <x:v>12.5</x:v>
      </x:c>
    </x:row>
    <x:row r="9">
      <x:c r="A9" s="22" t="str">
        <x:f>'武器'!B4</x:f>
        <x:v>蘑菇</x:v>
      </x:c>
      <x:c r="B9" s="25" t="n">
        <x:f>'武器'!F4</x:f>
        <x:v>10</x:v>
      </x:c>
      <x:c r="C9" s="25" t="n">
        <x:f>'武器'!G4</x:f>
        <x:v>0.6</x:v>
      </x:c>
      <x:c r="D9" s="25" t="n">
        <x:f>B9/C9</x:f>
        <x:v>16.666666666666668</x:v>
      </x:c>
      <x:c r="E9" s="25" t="n">
        <x:f>'武器'!H4*'武器'!J4</x:f>
        <x:v>0</x:v>
      </x:c>
      <x:c r="F9" s="22" t="n">
        <x:f>'武器'!K4</x:f>
        <x:v>1</x:v>
      </x:c>
      <x:c r="G9" s="22" t="str">
        <x:f>'武器'!C4</x:f>
        <x:v>orbiting_mushroom</x:v>
      </x:c>
      <x:c r="I9" s="26" t="str">
        <x:f>A9</x:f>
        <x:v>蘑菇</x:v>
      </x:c>
      <x:c r="J9" s="26" t="n">
        <x:f>D9</x:f>
        <x:v>16.666666666666668</x:v>
      </x:c>
    </x:row>
    <x:row r="12" ht="28" customHeight="1">
      <x:c r="A12" s="10" t="str">
        <x:v>调参提醒</x:v>
      </x:c>
      <x:c r="B12" s="10" t="str">
        <x:v>调参提醒</x:v>
      </x:c>
      <x:c r="C12" s="10" t="str">
        <x:v>调参提醒</x:v>
      </x:c>
      <x:c r="D12" s="10" t="str">
        <x:v>调参提醒</x:v>
      </x:c>
      <x:c r="E12" s="10" t="str">
        <x:v>调参提醒</x:v>
      </x:c>
      <x:c r="F12" s="10" t="str">
        <x:v>调参提醒</x:v>
      </x:c>
      <x:c r="G12" s="10" t="str">
        <x:v>调参提醒</x:v>
      </x:c>
    </x:row>
    <x:row r="13" ht="32" customHeight="1">
      <x:c r="A13" s="31" t="str">
        <x:v>满足与间隔</x:v>
      </x:c>
      <x:c r="B13" s="32" t="str">
        <x:v>两者共同决定单目标基础输出；间隔还会受到快速备餐影响。</x:v>
      </x:c>
      <x:c r="C13" s="32"/>
      <x:c r="D13" s="32"/>
      <x:c r="E13" s="32"/>
      <x:c r="F13" s="32"/>
      <x:c r="G13" s="32"/>
    </x:row>
    <x:row r="14" ht="32" customHeight="1">
      <x:c r="A14" s="33" t="str">
        <x:v>弹速与持续</x:v>
      </x:c>
      <x:c r="B14" s="34" t="str">
        <x:v>投射武器基础射程等于弹速乘持续时间；酒和淀粉会分别继续放大。</x:v>
      </x:c>
      <x:c r="C14" s="34"/>
      <x:c r="D14" s="34"/>
      <x:c r="E14" s="34"/>
      <x:c r="F14" s="34"/>
      <x:c r="G14" s="34"/>
    </x:row>
    <x:row r="15" ht="32" customHeight="1">
      <x:c r="A15" s="33" t="str">
        <x:v>命中目标数</x:v>
      </x:c>
      <x:c r="B15" s="34" t="str">
        <x:v>表示未获得酱油时单份攻击最多命中的不同目标数量。</x:v>
      </x:c>
      <x:c r="C15" s="34"/>
      <x:c r="D15" s="34"/>
      <x:c r="E15" s="34"/>
      <x:c r="F15" s="34"/>
      <x:c r="G15" s="34"/>
    </x:row>
    <x:row r="16" ht="32" customHeight="1">
      <x:c r="A16" s="35" t="str">
        <x:v>环绕参数</x:v>
      </x:c>
      <x:c r="B16" s="36" t="str">
        <x:v>只对环绕武器生效；呼吸周期和外圈倍率在获得对应特殊强化后使用。</x:v>
      </x:c>
      <x:c r="C16" s="36"/>
      <x:c r="D16" s="36"/>
      <x:c r="E16" s="36"/>
      <x:c r="F16" s="36"/>
      <x:c r="G16" s="36"/>
    </x:row>
  </x:sheetData>
  <x:mergeCells>
    <x:mergeCell ref="A1:N1"/>
    <x:mergeCell ref="A2:N3"/>
    <x:mergeCell ref="A5:N5"/>
    <x:mergeCell ref="A12:G12"/>
    <x:mergeCell ref="B13:G13"/>
    <x:mergeCell ref="B14:G14"/>
    <x:mergeCell ref="B15:G15"/>
    <x:mergeCell ref="B16:G16"/>
  </x:mergeCells>
  <x:pageMargins left="0.7" right="0.7" top="0.75" bottom="0.75" header="0.3" footer="0.3"/>
  <x:drawing xmlns:r="http://schemas.openxmlformats.org/officeDocument/2006/relationships" r:id="Rbe2ce1ad440046b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4" hidden="0" customWidth="1"/>
    <x:col min="4" max="4" width="20" hidden="0" customWidth="1"/>
    <x:col min="5" max="5" width="18" hidden="0" customWidth="1"/>
    <x:col min="6" max="6" width="14" hidden="0" customWidth="1"/>
    <x:col min="7" max="7" width="16" hidden="0" customWidth="1"/>
    <x:col min="8" max="8" width="16" hidden="0" customWidth="1"/>
    <x:col min="9" max="9" width="18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22" hidden="0" customWidth="1"/>
    <x:col min="15" max="15" width="18" hidden="0" customWidth="1"/>
    <x:col min="16" max="16" width="20" hidden="0" customWidth="1"/>
    <x:col min="17" max="17" width="16" hidden="0" customWidth="1"/>
  </x:cols>
  <x:sheetData>
    <x:row r="1" ht="30" customHeight="1">
      <x:c r="A1" s="14" t="str">
        <x:v>食材ID</x:v>
      </x:c>
      <x:c r="B1" s="14" t="str">
        <x:v>显示名称</x:v>
      </x:c>
      <x:c r="C1" s="14" t="str">
        <x:v>攻击类型</x:v>
      </x:c>
      <x:c r="D1" s="14" t="str">
        <x:v>初始瞄准</x:v>
      </x:c>
      <x:c r="E1" s="14" t="str">
        <x:v>初始追踪</x:v>
      </x:c>
      <x:c r="F1" s="14" t="str">
        <x:v>基础满足</x:v>
      </x:c>
      <x:c r="G1" s="14" t="str">
        <x:v>基础间隔(s)</x:v>
      </x:c>
      <x:c r="H1" s="14" t="str">
        <x:v>弹速(px/s)</x:v>
      </x:c>
      <x:c r="I1" s="14" t="str">
        <x:v>碰撞半径(px)</x:v>
      </x:c>
      <x:c r="J1" s="14" t="str">
        <x:v>持续时间(s)</x:v>
      </x:c>
      <x:c r="K1" s="14" t="str">
        <x:v>命中目标数</x:v>
      </x:c>
      <x:c r="L1" s="14" t="str">
        <x:v>追踪转向速度</x:v>
      </x:c>
      <x:c r="M1" s="14" t="str">
        <x:v>环绕半径(px)</x:v>
      </x:c>
      <x:c r="N1" s="14" t="str">
        <x:v>环绕角速度(rad/s)</x:v>
      </x:c>
      <x:c r="O1" s="14" t="str">
        <x:v>呼吸周期(s)</x:v>
      </x:c>
      <x:c r="P1" s="14" t="str">
        <x:v>呼吸外圈倍率</x:v>
      </x:c>
      <x:c r="Q1" s="14" t="str">
        <x:v>颜色HEX</x:v>
      </x:c>
    </x:row>
    <x:row r="2">
      <x:c r="A2" s="31" t="str">
        <x:v>potato</x:v>
      </x:c>
      <x:c r="B2" s="31" t="str">
        <x:v>土豆</x:v>
      </x:c>
      <x:c r="C2" s="31" t="str">
        <x:v>projectile</x:v>
      </x:c>
      <x:c r="D2" s="31" t="str">
        <x:v>fixed_forward</x:v>
      </x:c>
      <x:c r="E2" s="31" t="str">
        <x:v>none</x:v>
      </x:c>
      <x:c r="F2" s="40" t="n">
        <x:v>10</x:v>
      </x:c>
      <x:c r="G2" s="40" t="n">
        <x:v>0.8</x:v>
      </x:c>
      <x:c r="H2" s="40" t="n">
        <x:v>760</x:v>
      </x:c>
      <x:c r="I2" s="40" t="n">
        <x:v>17</x:v>
      </x:c>
      <x:c r="J2" s="40" t="n">
        <x:v>1.3473684</x:v>
      </x:c>
      <x:c r="K2" s="43" t="n">
        <x:v>1</x:v>
      </x:c>
      <x:c r="L2" s="40" t="n">
        <x:v>4.5</x:v>
      </x:c>
      <x:c r="M2" s="40" t="n">
        <x:v>120</x:v>
      </x:c>
      <x:c r="N2" s="40" t="n">
        <x:v>3.2</x:v>
      </x:c>
      <x:c r="O2" s="40" t="n">
        <x:v>1.2</x:v>
      </x:c>
      <x:c r="P2" s="40" t="n">
        <x:v>2</x:v>
      </x:c>
      <x:c r="Q2" s="37" t="str">
        <x:v>#E3B54A</x:v>
      </x:c>
    </x:row>
    <x:row r="3">
      <x:c r="A3" s="33" t="str">
        <x:v>baguette</x:v>
      </x:c>
      <x:c r="B3" s="33" t="str">
        <x:v>法棍</x:v>
      </x:c>
      <x:c r="C3" s="33" t="str">
        <x:v>piercing_projectile</x:v>
      </x:c>
      <x:c r="D3" s="33" t="str">
        <x:v>target_snapshot</x:v>
      </x:c>
      <x:c r="E3" s="33" t="str">
        <x:v>none</x:v>
      </x:c>
      <x:c r="F3" s="41" t="n">
        <x:v>15</x:v>
      </x:c>
      <x:c r="G3" s="41" t="n">
        <x:v>1.2</x:v>
      </x:c>
      <x:c r="H3" s="41" t="n">
        <x:v>680</x:v>
      </x:c>
      <x:c r="I3" s="41" t="n">
        <x:v>14</x:v>
      </x:c>
      <x:c r="J3" s="41" t="n">
        <x:v>1.1294118</x:v>
      </x:c>
      <x:c r="K3" s="44" t="n">
        <x:v>3</x:v>
      </x:c>
      <x:c r="L3" s="41" t="n">
        <x:v>4.5</x:v>
      </x:c>
      <x:c r="M3" s="41" t="n">
        <x:v>120</x:v>
      </x:c>
      <x:c r="N3" s="41" t="n">
        <x:v>3.2</x:v>
      </x:c>
      <x:c r="O3" s="41" t="n">
        <x:v>1.2</x:v>
      </x:c>
      <x:c r="P3" s="41" t="n">
        <x:v>2</x:v>
      </x:c>
      <x:c r="Q3" s="38" t="str">
        <x:v>#D97A2E</x:v>
      </x:c>
    </x:row>
    <x:row r="4">
      <x:c r="A4" s="35" t="str">
        <x:v>mushroom</x:v>
      </x:c>
      <x:c r="B4" s="35" t="str">
        <x:v>蘑菇</x:v>
      </x:c>
      <x:c r="C4" s="35" t="str">
        <x:v>orbiting_mushroom</x:v>
      </x:c>
      <x:c r="D4" s="35" t="str">
        <x:v>fixed_forward</x:v>
      </x:c>
      <x:c r="E4" s="35" t="str">
        <x:v>none</x:v>
      </x:c>
      <x:c r="F4" s="42" t="n">
        <x:v>10</x:v>
      </x:c>
      <x:c r="G4" s="42" t="n">
        <x:v>0.6</x:v>
      </x:c>
      <x:c r="H4" s="42" t="n">
        <x:v>0</x:v>
      </x:c>
      <x:c r="I4" s="42" t="n">
        <x:v>22</x:v>
      </x:c>
      <x:c r="J4" s="42" t="n">
        <x:v>4</x:v>
      </x:c>
      <x:c r="K4" s="45" t="n">
        <x:v>1</x:v>
      </x:c>
      <x:c r="L4" s="42" t="n">
        <x:v>4.5</x:v>
      </x:c>
      <x:c r="M4" s="42" t="n">
        <x:v>100</x:v>
      </x:c>
      <x:c r="N4" s="42" t="n">
        <x:v>3.2</x:v>
      </x:c>
      <x:c r="O4" s="42" t="n">
        <x:v>1.2</x:v>
      </x:c>
      <x:c r="P4" s="42" t="n">
        <x:v>2</x:v>
      </x:c>
      <x:c r="Q4" s="39" t="str">
        <x:v>#73A84F</x:v>
      </x:c>
    </x:row>
  </x:sheetData>
  <x:dataValidations count="3">
    <x:dataValidation type="list" sqref="C2:C4">
      <x:formula1>"projectile,piercing_projectile,orbiting_mushroom"</x:formula1>
    </x:dataValidation>
    <x:dataValidation type="list" sqref="D2:D4">
      <x:formula1>"fixed_forward,target_snapshot"</x:formula1>
    </x:dataValidation>
    <x:dataValidation type="list" sqref="E2:E4">
      <x:formula1>"none,homing"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bc29388e6e4b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48" hidden="0" customWidth="1"/>
  </x:cols>
  <x:sheetData>
    <x:row r="1" ht="30" customHeight="1">
      <x:c r="A1" s="14" t="str">
        <x:v>参数ID</x:v>
      </x:c>
      <x:c r="B1" s="14" t="str">
        <x:v>数值</x:v>
      </x:c>
      <x:c r="C1" s="14" t="str">
        <x:v>说明</x:v>
      </x:c>
    </x:row>
    <x:row r="2">
      <x:c r="A2" s="17" t="str">
        <x:v>schema_id</x:v>
      </x:c>
      <x:c r="B2" s="31" t="str">
        <x:v>xiaochuxi.weapons</x:v>
      </x:c>
      <x:c r="C2" s="17" t="str">
        <x:v>武器表结构标识，请勿修改</x:v>
      </x:c>
    </x:row>
    <x:row r="3">
      <x:c r="A3" s="19" t="str">
        <x:v>schema_version</x:v>
      </x:c>
      <x:c r="B3" s="35" t="n">
        <x:v>1</x:v>
      </x:c>
      <x:c r="C3" s="19" t="str">
        <x:v>结构版本，请勿修改</x:v>
      </x:c>
    </x:row>
  </x:sheetData>
  <x:pageMargins left="0.7" right="0.7" top="0.75" bottom="0.75" header="0.3" footer="0.3"/>
  <x:tableParts count="1">
    <x:tablePart xmlns:r="http://schemas.openxmlformats.org/officeDocument/2006/relationships" r:id="Rf62e8d170d8a413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4" hidden="0" customWidth="1"/>
  </x:cols>
  <x:sheetData>
    <x:row r="1" ht="30" customHeight="1">
      <x:c r="A1" s="14" t="str">
        <x:v>项目</x:v>
      </x:c>
      <x:c r="B1" s="14" t="str">
        <x:v>说明</x:v>
      </x:c>
    </x:row>
    <x:row r="2" ht="42" customHeight="1">
      <x:c r="A2" s="31" t="str">
        <x:v>生效方式</x:v>
      </x:c>
      <x:c r="B2" s="46" t="str">
        <x:v>保存并关闭工作簿后，重新开始本局或重新运行 run_3d.tscn。运行中的既有单局不会热替换武器。</x:v>
      </x:c>
    </x:row>
    <x:row r="3" ht="42" customHeight="1">
      <x:c r="A3" s="33" t="str">
        <x:v>输入颜色</x:v>
      </x:c>
      <x:c r="B3" s="47" t="str">
        <x:v>黄色是常用数值输入；绿色是标识和枚举字段，只有确认调用关系后再修改。</x:v>
      </x:c>
    </x:row>
    <x:row r="4" ht="42" customHeight="1">
      <x:c r="A4" s="33" t="str">
        <x:v>范围关系</x:v>
      </x:c>
      <x:c r="B4" s="47" t="str">
        <x:v>投射武器射程由弹速 × 持续时间决定；环绕武器主要读取环绕半径和角速度。</x:v>
      </x:c>
    </x:row>
    <x:row r="5" ht="42" customHeight="1">
      <x:c r="A5" s="33" t="str">
        <x:v>结构限制</x:v>
      </x:c>
      <x:c r="B5" s="47" t="str">
        <x:v>新增食材行只提供数据，不会自动生成正式模型、动画或新的特殊强化卡。</x:v>
      </x:c>
    </x:row>
    <x:row r="6" ht="42" customHeight="1">
      <x:c r="A6" s="35" t="str">
        <x:v>失败回退</x:v>
      </x:c>
      <x:c r="B6" s="48" t="str">
        <x:v>文件缺失、字段非法或结构不匹配时，游戏使用 scenes/run_3d.tscn 中装配的 data/foods/*.tres。</x:v>
      </x:c>
    </x:row>
  </x:sheetData>
  <x:pageMargins left="0.7" right="0.7" top="0.75" bottom="0.75" header="0.3" footer="0.3"/>
  <x:tableParts count="1">
    <x:tablePart xmlns:r="http://schemas.openxmlformats.org/officeDocument/2006/relationships" r:id="R2a7c562485364e38"/>
  </x:tableParts>
</x:worksheet>
</file>