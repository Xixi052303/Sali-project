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71b78ef54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武器预览" sheetId="1" r:id="R1f8b48081ea841dd"/>
    <x:sheet xmlns:r="http://schemas.openxmlformats.org/officeDocument/2006/relationships" name="武器" sheetId="2" r:id="R96f2b4273f724544"/>
    <x:sheet xmlns:r="http://schemas.openxmlformats.org/officeDocument/2006/relationships" name="衍生攻击" sheetId="3" r:id="Ra43f1e74a2144f02"/>
    <x:sheet xmlns:r="http://schemas.openxmlformats.org/officeDocument/2006/relationships" name="配置" sheetId="4" r:id="R8ae431fc0f45437d"/>
    <x:sheet xmlns:r="http://schemas.openxmlformats.org/officeDocument/2006/relationships" name="说明" sheetId="5" r:id="Rd89db668503d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&quot;x&quot;"/>
    <x:numFmt numFmtId="201" formatCode="0&quot; px&quot;"/>
  </x:numFmts>
  <x:fonts count="10">
    <x:font>
      <x:sz val="11"/>
      <x:name val="Carlito"/>
    </x:font>
    <x:font>
      <x:b/>
      <x:sz val="18"/>
      <x:color rgb="FFFFFFFF"/>
      <x:name val="Microsoft YaHei"/>
    </x:font>
    <x:font>
      <x:sz val="10"/>
      <x:color rgb="FF243238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11"/>
      <x:name val="Carlito"/>
    </x:font>
    <x:font>
      <x:sz val="9"/>
      <x:name val="宋体"/>
    </x:font>
    <x:font>
      <x:b/>
      <x:sz val="11"/>
      <x:color rgb="FFFFFFFF"/>
      <x:name val="Carlito"/>
    </x:font>
    <x:font>
      <x:sz val="11"/>
      <x:color rgb="FF334155"/>
      <x:name val="Carlito"/>
    </x:font>
    <x:font>
      <x:b/>
      <x:sz val="11"/>
      <x:color rgb="FF334155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43238"/>
      </x:patternFill>
    </x:fill>
    <x:fill>
      <x:patternFill patternType="solid">
        <x:fgColor rgb="FFF5F7F6"/>
      </x:patternFill>
    </x:fill>
    <x:fill>
      <x:patternFill patternType="solid">
        <x:fgColor rgb="FF2D6F6A"/>
      </x:patternFill>
    </x:fill>
    <x:fill>
      <x:patternFill patternType="solid">
        <x:fgColor rgb="FFE7F0F8"/>
      </x:patternFill>
    </x:fill>
    <x:fill>
      <x:patternFill patternType="solid">
        <x:fgColor rgb="FFE8F3EC"/>
      </x:patternFill>
    </x:fill>
    <x:fill>
      <x:patternFill patternType="solid">
        <x:fgColor rgb="FFFFF3CD"/>
      </x:patternFill>
    </x:fill>
    <x:fill>
      <x:patternFill patternType="solid">
        <x:fgColor rgb="FF24343A"/>
      </x:patternFill>
    </x:fill>
    <x:fill>
      <x:patternFill patternType="solid">
        <x:fgColor rgb="FFE7F1F8"/>
      </x:patternFill>
    </x:fill>
    <x:fill>
      <x:patternFill patternType="solid">
        <x:fgColor rgb="FFE2E8F0"/>
      </x:patternFill>
    </x:fill>
    <x:fill>
      <x:patternFill patternType="solid">
        <x:fgColor rgb="FFFFF1B8"/>
      </x:patternFill>
    </x:fill>
  </x:fills>
  <x:borders count="9">
    <x:border/>
    <x:border>
      <x:bottom style="thin">
        <x:color rgb="FFD7DDD9"/>
      </x:bottom>
    </x:border>
    <x:border>
      <x:top style="thin">
        <x:color rgb="FFD7DDD9"/>
      </x:top>
      <x:bottom style="thin">
        <x:color rgb="FFD7DDD9"/>
      </x:bottom>
    </x:border>
    <x:border>
      <x:top style="thin">
        <x:color rgb="FFD7DDD9"/>
      </x:top>
    </x:border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2">
    <x:xf numFmtId="0" fontId="5" fillId="0" borderId="0"/>
    <x:xf numFmtId="0" fontId="5" fillId="0" borderId="0"/>
  </x:cellStyleXfs>
  <x:cellXfs count="58">
    <x:xf numFmtId="0" fontId="0" fillId="0" borderId="0" xfId="0"/>
    <x:xf numFmtId="0" fontId="4" fillId="2" borderId="0" xfId="1" applyAlignment="1">
      <x:alignment horizontal="center" vertical="center" wrapText="1"/>
    </x:xf>
    <x:xf numFmtId="0" fontId="2" fillId="0" borderId="1" xfId="1" applyAlignment="1">
      <x:alignment vertical="center"/>
    </x:xf>
    <x:xf numFmtId="0" fontId="2" fillId="0" borderId="3" xfId="1" applyAlignment="1">
      <x:alignment vertical="center"/>
    </x:xf>
    <x:xf numFmtId="0" fontId="2" fillId="5" borderId="1" xfId="1" applyAlignment="1">
      <x:alignment vertical="center"/>
    </x:xf>
    <x:xf numFmtId="0" fontId="2" fillId="5" borderId="2" xfId="1" applyAlignment="1">
      <x:alignment vertical="center"/>
    </x:xf>
    <x:xf numFmtId="0" fontId="2" fillId="5" borderId="3" xfId="1" applyAlignment="1">
      <x:alignment vertical="center"/>
    </x:xf>
    <x:xf numFmtId="0" fontId="0" fillId="5" borderId="0" xfId="1"/>
    <x:xf numFmtId="0" fontId="2" fillId="6" borderId="1" xfId="1" applyAlignment="1">
      <x:alignment vertical="center"/>
    </x:xf>
    <x:xf numFmtId="0" fontId="2" fillId="6" borderId="2" xfId="1" applyAlignment="1">
      <x:alignment vertical="center"/>
    </x:xf>
    <x:xf numFmtId="0" fontId="2" fillId="6" borderId="3" xfId="1" applyAlignment="1">
      <x:alignment vertical="center"/>
    </x:xf>
    <x:xf numFmtId="0" fontId="2" fillId="7" borderId="1" xfId="1" applyAlignment="1">
      <x:alignment vertical="center"/>
    </x:xf>
    <x:xf numFmtId="0" fontId="2" fillId="7" borderId="2" xfId="1" applyAlignment="1">
      <x:alignment vertical="center"/>
    </x:xf>
    <x:xf numFmtId="0" fontId="2" fillId="7" borderId="3" xfId="1" applyAlignment="1">
      <x:alignment vertical="center"/>
    </x:xf>
    <x:xf numFmtId="0" fontId="2" fillId="0" borderId="1" xfId="1" applyAlignment="1">
      <x:alignment vertical="center" wrapText="1"/>
    </x:xf>
    <x:xf numFmtId="0" fontId="2" fillId="0" borderId="2" xfId="1" applyAlignment="1">
      <x:alignment vertical="center" wrapText="1"/>
    </x:xf>
    <x:xf numFmtId="0" fontId="2" fillId="0" borderId="3" xfId="1" applyAlignment="1">
      <x:alignment vertical="center" wrapText="1"/>
    </x:xf>
    <x:xf numFmtId="2" fontId="2" fillId="5" borderId="1" xfId="1" applyAlignment="1">
      <x:alignment vertical="center"/>
    </x:xf>
    <x:xf numFmtId="2" fontId="2" fillId="5" borderId="2" xfId="1" applyAlignment="1">
      <x:alignment vertical="center"/>
    </x:xf>
    <x:xf numFmtId="2" fontId="2" fillId="5" borderId="3" xfId="1" applyAlignment="1">
      <x:alignment vertical="center"/>
    </x:xf>
    <x:xf numFmtId="2" fontId="2" fillId="7" borderId="1" xfId="1" applyAlignment="1">
      <x:alignment vertical="center"/>
    </x:xf>
    <x:xf numFmtId="1" fontId="2" fillId="7" borderId="1" xfId="1" applyAlignment="1">
      <x:alignment vertical="center"/>
    </x:xf>
    <x:xf numFmtId="2" fontId="2" fillId="7" borderId="2" xfId="1" applyAlignment="1">
      <x:alignment vertical="center"/>
    </x:xf>
    <x:xf numFmtId="1" fontId="2" fillId="7" borderId="2" xfId="1" applyAlignment="1">
      <x:alignment vertical="center"/>
    </x:xf>
    <x:xf numFmtId="2" fontId="2" fillId="7" borderId="3" xfId="1" applyAlignment="1">
      <x:alignment vertical="center"/>
    </x:xf>
    <x:xf numFmtId="1" fontId="2" fillId="7" borderId="3" xfId="1" applyAlignment="1">
      <x:alignment vertical="center"/>
    </x:xf>
    <x:xf numFmtId="0" fontId="1" fillId="2" borderId="0" xfId="1" applyAlignment="1">
      <x:alignment vertical="center"/>
    </x:xf>
    <x:xf numFmtId="0" fontId="0" fillId="0" borderId="0" xfId="0"/>
    <x:xf numFmtId="0" fontId="2" fillId="3" borderId="3" xfId="1" applyAlignment="1">
      <x:alignment vertical="center"/>
    </x:xf>
    <x:xf numFmtId="0" fontId="0" fillId="0" borderId="3" xfId="1"/>
    <x:xf numFmtId="0" fontId="2" fillId="3" borderId="2" xfId="1" applyAlignment="1">
      <x:alignment vertical="center"/>
    </x:xf>
    <x:xf numFmtId="0" fontId="0" fillId="0" borderId="2" xfId="1"/>
    <x:xf numFmtId="0" fontId="3" fillId="4" borderId="0" xfId="1" applyAlignment="1">
      <x:alignment vertical="center"/>
    </x:xf>
    <x:xf numFmtId="0" fontId="2" fillId="3" borderId="0" xfId="1" applyAlignment="1">
      <x:alignment vertical="center" wrapText="1"/>
    </x:xf>
    <x:xf numFmtId="0" fontId="2" fillId="3" borderId="1" xfId="1" applyAlignment="1">
      <x:alignment vertical="center"/>
    </x:xf>
    <x:xf numFmtId="0" fontId="0" fillId="0" borderId="1" xfId="1"/>
    <x:xf numFmtId="0" fontId="0" fillId="0" borderId="1" xfId="0"/>
    <x:xf numFmtId="0" fontId="0" fillId="0" borderId="2" xfId="0"/>
    <x:xf numFmtId="0" fontId="0" fillId="0" borderId="3" xfId="0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200" fontId="8" fillId="9" borderId="0" xfId="0" applyNumberFormat="1" applyFont="1" applyFill="1" applyBorder="1"/>
    <x:xf numFmtId="200" fontId="8" fillId="9" borderId="0" xfId="0" applyNumberFormat="1" applyFont="1" applyFill="1" applyBorder="1" applyAlignment="1">
      <x:alignment horizontal="right"/>
    </x:xf>
    <x:xf numFmtId="0" fontId="7" fillId="8" borderId="4" xfId="0" applyNumberFormat="1" applyFont="1" applyFill="1" applyBorder="1" applyAlignment="1">
      <x:alignment horizontal="center"/>
    </x:xf>
    <x:xf numFmtId="200" fontId="8" fillId="9" borderId="5" xfId="0" applyNumberFormat="1" applyFont="1" applyFill="1" applyBorder="1" applyAlignment="1">
      <x:alignment horizontal="right"/>
    </x:xf>
    <x:xf numFmtId="200" fontId="8" fillId="9" borderId="6" xfId="0" applyNumberFormat="1" applyFont="1" applyFill="1" applyBorder="1" applyAlignment="1">
      <x:alignment horizontal="right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201" fontId="9" fillId="11" borderId="0" xfId="0" applyNumberFormat="1" applyFont="1" applyFill="1" applyBorder="1"/>
    <x:xf numFmtId="201" fontId="9" fillId="11" borderId="0" xfId="0" applyNumberFormat="1" applyFont="1" applyFill="1" applyBorder="1" applyAlignment="1">
      <x:alignment horizontal="right"/>
    </x:xf>
    <x:xf numFmtId="0" fontId="9" fillId="10" borderId="7" xfId="0" applyNumberFormat="1" applyFont="1" applyFill="1" applyBorder="1" applyAlignment="1">
      <x:alignment horizontal="left"/>
    </x:xf>
    <x:xf numFmtId="201" fontId="9" fillId="11" borderId="8" xfId="0" applyNumberFormat="1" applyFont="1" applyFill="1" applyBorder="1" applyAlignment="1">
      <x:alignment horizontal="right"/>
    </x:xf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d7e0d686c4e58" /><Relationship Type="http://schemas.openxmlformats.org/officeDocument/2006/relationships/theme" Target="/xl/theme/theme1.xml" Id="R55284079a3f24e31" /><Relationship Type="http://schemas.openxmlformats.org/officeDocument/2006/relationships/sharedStrings" Target="/xl/sharedStrings.xml" Id="Rfac5023d065741e3" /><Relationship Type="http://schemas.openxmlformats.org/officeDocument/2006/relationships/worksheet" Target="/xl/worksheets/sheet1.xml" Id="R1f8b48081ea841dd" /><Relationship Type="http://schemas.openxmlformats.org/officeDocument/2006/relationships/worksheet" Target="/xl/worksheets/sheet2.xml" Id="R96f2b4273f724544" /><Relationship Type="http://schemas.openxmlformats.org/officeDocument/2006/relationships/worksheet" Target="/xl/worksheets/sheet3.xml" Id="Ra43f1e74a2144f02" /><Relationship Type="http://schemas.openxmlformats.org/officeDocument/2006/relationships/worksheet" Target="/xl/worksheets/sheet4.xml" Id="R8ae431fc0f45437d" /><Relationship Type="http://schemas.openxmlformats.org/officeDocument/2006/relationships/worksheet" Target="/xl/worksheets/sheet5.xml" Id="Rd89db668503d4b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38a0c0945a47aa" /><Relationship Type="http://schemas.openxmlformats.org/officeDocument/2006/relationships/chart" Target="/xl/drawings/charts/chart2.xml" Id="Rbb5018f897424cd7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基础理论DPS（不含穿透）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理论DPS</c:v>
          </c:tx>
          <c:spPr>
            <a:solidFill xmlns:a="http://schemas.openxmlformats.org/drawingml/2006/main">
              <a:srgbClr val="2F766F"/>
            </a:solidFill>
            <a:ln xmlns:a="http://schemas.openxmlformats.org/drawingml/2006/main">
              <a:prstDash val="solid"/>
            </a:ln>
          </c:spPr>
          <c:cat>
            <c:strRef>
              <c:f>'武器预览'!$A$7:$A$9</c:f>
              <c:strCache>
                <c:ptCount val="3"/>
                <c:pt idx="0">
                  <c:v>土豆</c:v>
                </c:pt>
                <c:pt idx="1">
                  <c:v>法棍</c:v>
                </c:pt>
                <c:pt idx="2">
                  <c:v>蘑菇</c:v>
                </c:pt>
              </c:strCache>
            </c:strRef>
          </c:cat>
          <c:val>
            <c:numRef>
              <c:f>'武器预览'!$D$7:$D$9</c:f>
              <c:numCache>
                <c:formatCode>General</c:formatCode>
                <c:ptCount val="3"/>
                <c:pt idx="0">
                  <c:v>12.5</c:v>
                </c:pt>
                <c:pt idx="1">
                  <c:v>10</c:v>
                </c:pt>
                <c:pt idx="2">
                  <c:v>16.66666666666667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基础射程（x屏，1280px/屏）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射程(x屏)</c:v>
          </c:tx>
          <c:spPr>
            <a:solidFill xmlns:a="http://schemas.openxmlformats.org/drawingml/2006/main">
              <a:srgbClr val="D97A2E"/>
            </a:solidFill>
          </c:spPr>
          <c:cat>
            <c:strRef>
              <c:f>'武器预览'!$A$7:$A$9</c:f>
              <c:strCache>
                <c:ptCount val="0"/>
              </c:strCache>
            </c:strRef>
          </c:cat>
          <c:val>
            <c:numRef>
              <c:f>'武器预览'!$H$7:$H$9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&quot;x&quot;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38a0c0945a47aa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5018f897424c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aponBalanceTable" displayName="WeaponBalanceTable" ref="A1:V4" headerRowCount="1" totalsRowShown="0">
  <x:tableColumns count="22">
    <x:tableColumn id="1" name="食材ID"/>
    <x:tableColumn id="2" name="显示名称"/>
    <x:tableColumn id="3" name="攻击类型"/>
    <x:tableColumn id="4" name="初始瞄准"/>
    <x:tableColumn id="5" name="初始追踪"/>
    <x:tableColumn id="6" name="基础满足"/>
    <x:tableColumn id="7" name="基础间隔(s)"/>
    <x:tableColumn id="8" name="弹速(px/s)"/>
    <x:tableColumn id="9" name="碰撞半径(px)"/>
    <x:tableColumn id="10" name="持续时间(s)"/>
    <x:tableColumn id="11" name="命中目标数"/>
    <x:tableColumn id="12" name="追踪转向速度"/>
    <x:tableColumn id="13" name="环绕半径(px)"/>
    <x:tableColumn id="14" name="环绕角速度(rad/s)"/>
    <x:tableColumn id="15" name="呼吸周期(s)"/>
    <x:tableColumn id="16" name="呼吸外圈倍率"/>
    <x:tableColumn id="17" name="颜色HEX"/>
    <x:tableColumn id="18" name="攻速强化倍率"/>
    <x:tableColumn id="19" name="酒强化倍率"/>
    <x:tableColumn id="20" name="范围强化倍率"/>
    <x:tableColumn id="21" name="持续强化倍率"/>
    <x:tableColumn id="22" name="寻敌半角(°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iaochuxi_weapons_config" displayName="xiaochuxi_weapons_config" ref="A1:C3" headerRowCount="1" totalsRowShown="0">
  <x:tableColumns count="3">
    <x:tableColumn id="1" name="参数ID"/>
    <x:tableColumn id="2" name="数值"/>
    <x:tableColumn id="3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aponNotesTable" displayName="WeaponNotesTable" ref="A1:B6" headerRowCount="1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a7df70b2cc4b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1d95f7cf354a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0a6f59bfe944e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ee944bffd284f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1" width="18" style="27" customWidth="1"/>
    <x:col min="2" max="2" width="16" style="27" customWidth="1"/>
    <x:col min="3" max="3" width="18" style="27" customWidth="1"/>
    <x:col min="4" max="4" width="20" style="27" customWidth="1"/>
    <x:col min="5" max="5" width="18" style="27" customWidth="1"/>
    <x:col min="6" max="6" width="16" style="27" customWidth="1"/>
    <x:col min="7" max="7" width="24" style="27" customWidth="1"/>
    <x:col min="8" max="8" width="15" style="27" hidden="0" customWidth="1"/>
    <x:col min="9" max="9" width="16" style="27" customWidth="1"/>
    <x:col min="10" max="10" width="18" style="27" customWidth="1"/>
    <x:col min="11" max="14" width="12" style="27" customWidth="1"/>
  </x:cols>
  <x:sheetData>
    <x:row r="1" s="27" customFormat="1" ht="37.95000076293945" customHeight="1">
      <x:c r="A1" s="26" t="inlineStr">
        <x:is>
          <x:t xml:space="preserve">小厨西 · 武器数值预览</x:t>
        </x:is>
      </x:c>
    </x:row>
    <x:row r="2">
      <x:c r="A2" s="33" t="inlineStr">
        <x:is>
          <x:t xml:space="preserve">本页由“武器”页黄色数值自动计算。射程按1280px设计高度换算；投射物取弹速×持续，蘑菇取未强化完整生命周期内最大环绕半径。理论DPS=基础满足÷基础间隔，不计算穿透、等级、强化、加量、目标数量与实战空窗。</x:t>
        </x:is>
      </x:c>
    </x:row>
    <x:row r="3"/>
    <x:row r="4">
      <x:c r="A4" s="56" t="inlineStr">
        <x:is>
          <x:t xml:space="preserve">射程换算屏高(px)</x:t>
        </x:is>
      </x:c>
      <x:c r="B4" s="57" t="n">
        <x:v>1280</x:v>
      </x:c>
    </x:row>
    <x:row r="5" s="27" customFormat="1" ht="28.049999237060547" customHeight="1">
      <x:c r="A5" s="32" t="inlineStr">
        <x:is>
          <x:t xml:space="preserve">基础输出与射程对比</x:t>
        </x:is>
      </x:c>
    </x:row>
    <x:row r="6" s="27" customFormat="1" ht="30" customHeight="1">
      <x:c r="A6" s="1" t="inlineStr">
        <x:is>
          <x:t xml:space="preserve">食材</x:t>
        </x:is>
      </x:c>
      <x:c r="B6" s="1" t="inlineStr">
        <x:is>
          <x:t xml:space="preserve">基础满足</x:t>
        </x:is>
      </x:c>
      <x:c r="C6" s="1" t="inlineStr">
        <x:is>
          <x:t xml:space="preserve">基础间隔(s)</x:t>
        </x:is>
      </x:c>
      <x:c r="D6" s="1" t="inlineStr">
        <x:is>
          <x:t xml:space="preserve">理论每秒满足</x:t>
        </x:is>
      </x:c>
      <x:c r="E6" s="1" t="inlineStr">
        <x:is>
          <x:t xml:space="preserve">基础射程(px)</x:t>
        </x:is>
      </x:c>
      <x:c r="F6" s="1" t="inlineStr">
        <x:is>
          <x:t xml:space="preserve">命中目标数</x:t>
        </x:is>
      </x:c>
      <x:c r="G6" s="1" t="inlineStr">
        <x:is>
          <x:t xml:space="preserve">攻击类型</x:t>
        </x:is>
      </x:c>
      <x:c r="H6" s="46" t="str">
        <x:v>射程(x屏)</x:v>
      </x:c>
      <x:c r="I6" s="1" t="inlineStr">
        <x:is>
          <x:t xml:space="preserve">食材</x:t>
        </x:is>
      </x:c>
      <x:c r="J6" s="1" t="inlineStr">
        <x:is>
          <x:t xml:space="preserve">理论每秒满足</x:t>
        </x:is>
      </x:c>
    </x:row>
    <x:row r="7" s="27" customFormat="1" ht="15" customHeight="1">
      <x:c r="A7" s="4" t="str">
        <x:f>'武器'!B2</x:f>
        <x:v>土豆</x:v>
      </x:c>
      <x:c r="B7" s="17" t="n">
        <x:f>'武器'!F2</x:f>
        <x:v>10</x:v>
      </x:c>
      <x:c r="C7" s="17" t="n">
        <x:f>'武器'!G2</x:f>
        <x:v>0.8</x:v>
      </x:c>
      <x:c r="D7" s="17" t="n">
        <x:f>B7/C7</x:f>
        <x:v>12.5</x:v>
      </x:c>
      <x:c r="E7" s="17" t="n">
        <x:f>IF('武器'!C2="orbiting_mushroom",'武器'!M2*POWER(1.5,INT(ABS('武器'!N2)*'武器'!J2/(4*PI())))*IF(MOD(ABS('武器'!N2)*'武器'!J2/(2*PI()),2)&lt;=1,1,1+0.5*(MOD(ABS('武器'!N2)*'武器'!J2/(2*PI()),2)-1)),'武器'!H2*'武器'!J2)</x:f>
        <x:v>916.210512</x:v>
      </x:c>
      <x:c r="F7" s="4" t="n">
        <x:f>'武器'!K2</x:f>
        <x:v>1</x:v>
      </x:c>
      <x:c r="G7" s="4" t="str">
        <x:f>'武器'!C2</x:f>
        <x:v>projectile</x:v>
      </x:c>
      <x:c r="H7" s="47" t="n">
        <x:f>E7/$B$4</x:f>
        <x:v>0.7157894625</x:v>
      </x:c>
      <x:c r="I7" s="7" t="str">
        <x:f>A7</x:f>
        <x:v>土豆</x:v>
      </x:c>
      <x:c r="J7" s="7" t="n">
        <x:f>D7</x:f>
        <x:v>12.5</x:v>
      </x:c>
    </x:row>
    <x:row r="8" s="27" customFormat="1" ht="15" customHeight="1">
      <x:c r="A8" s="5" t="str">
        <x:f>'武器'!B3</x:f>
        <x:v>法棍</x:v>
      </x:c>
      <x:c r="B8" s="18" t="n">
        <x:f>'武器'!F3</x:f>
        <x:v>10</x:v>
      </x:c>
      <x:c r="C8" s="18" t="n">
        <x:f>'武器'!G3</x:f>
        <x:v>1</x:v>
      </x:c>
      <x:c r="D8" s="18" t="n">
        <x:f>B8/C8</x:f>
        <x:v>10</x:v>
      </x:c>
      <x:c r="E8" s="18" t="n">
        <x:f>IF('武器'!C3="orbiting_mushroom",'武器'!M3*POWER(1.5,INT(ABS('武器'!N3)*'武器'!J3/(4*PI())))*IF(MOD(ABS('武器'!N3)*'武器'!J3/(2*PI()),2)&lt;=1,1,1+0.5*(MOD(ABS('武器'!N3)*'武器'!J3/(2*PI()),2)-1)),'武器'!H3*'武器'!J3)</x:f>
        <x:v>1000</x:v>
      </x:c>
      <x:c r="F8" s="5" t="n">
        <x:f>'武器'!K3</x:f>
        <x:v>3</x:v>
      </x:c>
      <x:c r="G8" s="5" t="str">
        <x:f>'武器'!C3</x:f>
        <x:v>piercing_projectile</x:v>
      </x:c>
      <x:c r="H8" s="47" t="n">
        <x:f>E8/$B$4</x:f>
        <x:v>0.78125</x:v>
      </x:c>
      <x:c r="I8" s="7" t="str">
        <x:f>A8</x:f>
        <x:v>法棍</x:v>
      </x:c>
      <x:c r="J8" s="7" t="n">
        <x:f>D8</x:f>
        <x:v>10</x:v>
      </x:c>
    </x:row>
    <x:row r="9" s="27" customFormat="1" ht="15" customHeight="1">
      <x:c r="A9" s="6" t="str">
        <x:f>'武器'!B4</x:f>
        <x:v>蘑菇</x:v>
      </x:c>
      <x:c r="B9" s="19" t="n">
        <x:f>'武器'!F4</x:f>
        <x:v>10</x:v>
      </x:c>
      <x:c r="C9" s="19" t="n">
        <x:f>'武器'!G4</x:f>
        <x:v>0.6</x:v>
      </x:c>
      <x:c r="D9" s="19" t="n">
        <x:f>B9/C9</x:f>
        <x:v>16.666666666666668</x:v>
      </x:c>
      <x:c r="E9" s="19" t="n">
        <x:f>IF('武器'!C4="orbiting_mushroom",'武器'!M4*POWER(1.5,INT(ABS('武器'!N4)*'武器'!J4/(4*PI())))*IF(MOD(ABS('武器'!N4)*'武器'!J4/(2*PI()),2)&lt;=1,1,1+0.5*(MOD(ABS('武器'!N4)*'武器'!J4/(2*PI()),2)-1)),'武器'!H4*'武器'!J4)</x:f>
        <x:v>150</x:v>
      </x:c>
      <x:c r="F9" s="6" t="n">
        <x:f>'武器'!K4</x:f>
        <x:v>1</x:v>
      </x:c>
      <x:c r="G9" s="6" t="str">
        <x:f>'武器'!C4</x:f>
        <x:v>orbiting_mushroom</x:v>
      </x:c>
      <x:c r="H9" s="48" t="n">
        <x:f>E9/$B$4</x:f>
        <x:v>0.1171875</x:v>
      </x:c>
      <x:c r="I9" s="7" t="str">
        <x:f>A9</x:f>
        <x:v>蘑菇</x:v>
      </x:c>
      <x:c r="J9" s="7" t="n">
        <x:f>D9</x:f>
        <x:v>16.666666666666668</x:v>
      </x:c>
    </x:row>
    <x:row r="12" s="27" customFormat="1" ht="28.049999237060547" customHeight="1">
      <x:c r="A12" s="32" t="inlineStr">
        <x:is>
          <x:t xml:space="preserve">调参提醒</x:t>
        </x:is>
      </x:c>
    </x:row>
    <x:row r="13" s="27" customFormat="1" ht="31.950000762939453" customHeight="1">
      <x:c r="A13" s="8" t="inlineStr">
        <x:is>
          <x:t xml:space="preserve">满足与间隔</x:t>
        </x:is>
      </x:c>
      <x:c r="B13" s="34" t="inlineStr">
        <x:is>
          <x:t xml:space="preserve">两者共同决定单目标基础输出；间隔还会受到快速备餐影响。</x:t>
        </x:is>
      </x:c>
      <x:c r="C13" s="36" t="n"/>
      <x:c r="D13" s="36" t="n"/>
      <x:c r="E13" s="36" t="n"/>
      <x:c r="F13" s="36" t="n"/>
      <x:c r="G13" s="36" t="n"/>
    </x:row>
    <x:row r="14" s="27" customFormat="1" ht="31.950000762939453" customHeight="1">
      <x:c r="A14" s="9" t="inlineStr">
        <x:is>
          <x:t xml:space="preserve">弹速与持续</x:t>
        </x:is>
      </x:c>
      <x:c r="B14" s="30" t="inlineStr">
        <x:is>
          <x:t xml:space="preserve">投射武器基础射程等于弹速乘持续时间；酒和淀粉会分别继续放大。</x:t>
        </x:is>
      </x:c>
      <x:c r="C14" s="37" t="n"/>
      <x:c r="D14" s="37" t="n"/>
      <x:c r="E14" s="37" t="n"/>
      <x:c r="F14" s="37" t="n"/>
      <x:c r="G14" s="37" t="n"/>
    </x:row>
    <x:row r="15" s="27" customFormat="1" ht="31.950000762939453" customHeight="1">
      <x:c r="A15" s="9" t="inlineStr">
        <x:is>
          <x:t xml:space="preserve">命中目标数</x:t>
        </x:is>
      </x:c>
      <x:c r="B15" s="30" t="inlineStr">
        <x:is>
          <x:t xml:space="preserve">表示未获得酱油时单份攻击最多命中的不同目标数量。</x:t>
        </x:is>
      </x:c>
      <x:c r="C15" s="37" t="n"/>
      <x:c r="D15" s="37" t="n"/>
      <x:c r="E15" s="37" t="n"/>
      <x:c r="F15" s="37" t="n"/>
      <x:c r="G15" s="37" t="n"/>
    </x:row>
    <x:row r="16" s="27" customFormat="1" ht="31.950000762939453" customHeight="1">
      <x:c r="A16" s="10" t="inlineStr">
        <x:is>
          <x:t xml:space="preserve">环绕参数</x:t>
        </x:is>
      </x:c>
      <x:c r="B16" s="28" t="inlineStr">
        <x:is>
          <x:t xml:space="preserve">射程预览按无强化完整生命周期推算：每档驻留一圈，下一圈平滑扩至1.5倍；呼吸外圈不计入，需获得对应特殊强化。</x:t>
        </x:is>
      </x:c>
      <x:c r="C16" s="38" t="n"/>
      <x:c r="D16" s="38" t="n"/>
      <x:c r="E16" s="38" t="n"/>
      <x:c r="F16" s="38" t="n"/>
      <x:c r="G16" s="38" t="n"/>
    </x:row>
  </x:sheetData>
  <x:mergeCells>
    <x:mergeCell ref="B16:G16"/>
    <x:mergeCell ref="B14:G14"/>
    <x:mergeCell ref="A12:G12"/>
    <x:mergeCell ref="A2:N3"/>
    <x:mergeCell ref="B13:G13"/>
    <x:mergeCell ref="A5:N5"/>
    <x:mergeCell ref="B15:G15"/>
    <x:mergeCell ref="A1:N1"/>
  </x:mergeCells>
  <x:pageMargins left="0.7" right="0.7" top="0.75" bottom="0.75" header="0.3" footer="0.3"/>
  <x:drawing xmlns:r="http://schemas.openxmlformats.org/officeDocument/2006/relationships" r:id="R3da7df70b2cc4b7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1" width="18" style="27" customWidth="1"/>
    <x:col min="2" max="2" width="16" style="27" customWidth="1"/>
    <x:col min="3" max="3" width="24" style="27" customWidth="1"/>
    <x:col min="4" max="4" width="20" style="27" customWidth="1"/>
    <x:col min="5" max="5" width="18" style="27" customWidth="1"/>
    <x:col min="6" max="6" width="14" style="27" customWidth="1"/>
    <x:col min="7" max="8" width="16" style="27" customWidth="1"/>
    <x:col min="9" max="9" width="18" style="27" customWidth="1"/>
    <x:col min="10" max="11" width="16" style="27" customWidth="1"/>
    <x:col min="12" max="13" width="18" style="27" customWidth="1"/>
    <x:col min="14" max="14" width="22" style="27" customWidth="1"/>
    <x:col min="15" max="15" width="18" style="27" customWidth="1"/>
    <x:col min="16" max="16" width="20" style="27" customWidth="1"/>
    <x:col min="17" max="21" width="16" style="27" customWidth="1"/>
    <x:col min="21" max="21" width="13" style="27" customWidth="1"/>
    <x:col min="22" max="22" width="13" style="27" customWidth="1"/>
  </x:cols>
  <x:sheetData>
    <x:row r="1" s="27" customFormat="1" ht="30" customHeight="1">
      <x:c r="A1" s="1" t="inlineStr">
        <x:is>
          <x:t xml:space="preserve">食材ID</x:t>
        </x:is>
      </x:c>
      <x:c r="B1" s="1" t="inlineStr">
        <x:is>
          <x:t xml:space="preserve">显示名称</x:t>
        </x:is>
      </x:c>
      <x:c r="C1" s="1" t="inlineStr">
        <x:is>
          <x:t xml:space="preserve">攻击类型</x:t>
        </x:is>
      </x:c>
      <x:c r="D1" s="1" t="inlineStr">
        <x:is>
          <x:t xml:space="preserve">初始瞄准</x:t>
        </x:is>
      </x:c>
      <x:c r="E1" s="1" t="inlineStr">
        <x:is>
          <x:t xml:space="preserve">初始追踪</x:t>
        </x:is>
      </x:c>
      <x:c r="F1" s="1" t="inlineStr">
        <x:is>
          <x:t xml:space="preserve">基础满足</x:t>
        </x:is>
      </x:c>
      <x:c r="G1" s="1" t="inlineStr">
        <x:is>
          <x:t xml:space="preserve">基础间隔(s)</x:t>
        </x:is>
      </x:c>
      <x:c r="H1" s="1" t="inlineStr">
        <x:is>
          <x:t xml:space="preserve">弹速(px/s)</x:t>
        </x:is>
      </x:c>
      <x:c r="I1" s="1" t="inlineStr">
        <x:is>
          <x:t xml:space="preserve">碰撞半径(px)</x:t>
        </x:is>
      </x:c>
      <x:c r="J1" s="1" t="inlineStr">
        <x:is>
          <x:t xml:space="preserve">持续时间(s)</x:t>
        </x:is>
      </x:c>
      <x:c r="K1" s="1" t="inlineStr">
        <x:is>
          <x:t xml:space="preserve">命中目标数</x:t>
        </x:is>
      </x:c>
      <x:c r="L1" s="1" t="inlineStr">
        <x:is>
          <x:t xml:space="preserve">追踪转向速度</x:t>
        </x:is>
      </x:c>
      <x:c r="M1" s="1" t="inlineStr">
        <x:is>
          <x:t xml:space="preserve">环绕半径(px)</x:t>
        </x:is>
      </x:c>
      <x:c r="N1" s="1" t="inlineStr">
        <x:is>
          <x:t xml:space="preserve">环绕角速度(rad/s)</x:t>
        </x:is>
      </x:c>
      <x:c r="O1" s="1" t="inlineStr">
        <x:is>
          <x:t xml:space="preserve">呼吸周期(s)</x:t>
        </x:is>
      </x:c>
      <x:c r="P1" s="1" t="inlineStr">
        <x:is>
          <x:t xml:space="preserve">呼吸外圈倍率</x:t>
        </x:is>
      </x:c>
      <x:c r="Q1" s="1" t="inlineStr">
        <x:is>
          <x:t xml:space="preserve">颜色HEX</x:t>
        </x:is>
      </x:c>
      <x:c r="R1" s="1" t="inlineStr">
        <x:is>
          <x:t xml:space="preserve">攻速强化倍率</x:t>
        </x:is>
      </x:c>
      <x:c r="S1" s="1" t="inlineStr">
        <x:is>
          <x:t xml:space="preserve">酒强化倍率</x:t>
        </x:is>
      </x:c>
      <x:c r="T1" s="1" t="inlineStr">
        <x:is>
          <x:t xml:space="preserve">范围强化倍率</x:t>
        </x:is>
      </x:c>
      <x:c r="U1" s="1" t="inlineStr">
        <x:is>
          <x:t xml:space="preserve">持续强化倍率</x:t>
        </x:is>
      </x:c>
      <x:c r="V1" s="1" t="inlineStr">
        <x:is>
          <x:t xml:space="preserve">寻敌半角(°)</x:t>
        </x:is>
      </x:c>
    </x:row>
    <x:row r="2" s="27" customFormat="1" ht="15" customHeight="1">
      <x:c r="A2" s="8" t="inlineStr">
        <x:is>
          <x:t xml:space="preserve">potato</x:t>
        </x:is>
      </x:c>
      <x:c r="B2" s="8" t="inlineStr">
        <x:is>
          <x:t xml:space="preserve">土豆</x:t>
        </x:is>
      </x:c>
      <x:c r="C2" s="8" t="inlineStr">
        <x:is>
          <x:t xml:space="preserve">projectile</x:t>
        </x:is>
      </x:c>
      <x:c r="D2" s="8" t="inlineStr">
        <x:is>
          <x:t xml:space="preserve">fixed_forward</x:t>
        </x:is>
      </x:c>
      <x:c r="E2" s="8" t="inlineStr">
        <x:is>
          <x:t xml:space="preserve">none</x:t>
        </x:is>
      </x:c>
      <x:c r="F2" s="20" t="n">
        <x:v>10</x:v>
      </x:c>
      <x:c r="G2" s="20" t="n">
        <x:v>0.8</x:v>
      </x:c>
      <x:c r="H2" s="20" t="n">
        <x:v>680</x:v>
      </x:c>
      <x:c r="I2" s="20" t="n">
        <x:v>17</x:v>
      </x:c>
      <x:c r="J2" s="20" t="n">
        <x:v>1.3473684</x:v>
      </x:c>
      <x:c r="K2" s="21" t="n">
        <x:v>1</x:v>
      </x:c>
      <x:c r="L2" s="20" t="n">
        <x:v>4.5</x:v>
      </x:c>
      <x:c r="M2" s="20" t="n">
        <x:v>120</x:v>
      </x:c>
      <x:c r="N2" s="20" t="n">
        <x:v>3.2</x:v>
      </x:c>
      <x:c r="O2" s="20" t="n">
        <x:v>1.2</x:v>
      </x:c>
      <x:c r="P2" s="20" t="n">
        <x:v>2</x:v>
      </x:c>
      <x:c r="Q2" s="11" t="inlineStr">
        <x:is>
          <x:t xml:space="preserve">#E3B54A</x:t>
        </x:is>
      </x:c>
      <x:c r="R2" s="20" t="n">
        <x:v>1</x:v>
      </x:c>
      <x:c r="S2" s="20" t="n">
        <x:v>0.35</x:v>
      </x:c>
      <x:c r="T2" s="20" t="n">
        <x:v>1</x:v>
      </x:c>
      <x:c r="U2" s="20" t="n">
        <x:v>0.2</x:v>
      </x:c>
      <x:c r="V2" s="20" t="n">
        <x:v>90</x:v>
      </x:c>
    </x:row>
    <x:row r="3" s="27" customFormat="1" ht="15" customHeight="1">
      <x:c r="A3" s="9" t="inlineStr">
        <x:is>
          <x:t xml:space="preserve">baguette</x:t>
        </x:is>
      </x:c>
      <x:c r="B3" s="9" t="inlineStr">
        <x:is>
          <x:t xml:space="preserve">法棍</x:t>
        </x:is>
      </x:c>
      <x:c r="C3" s="9" t="inlineStr">
        <x:is>
          <x:t xml:space="preserve">piercing_projectile</x:t>
        </x:is>
      </x:c>
      <x:c r="D3" s="9" t="inlineStr">
        <x:is>
          <x:t xml:space="preserve">target_snapshot</x:t>
        </x:is>
      </x:c>
      <x:c r="E3" s="9" t="inlineStr">
        <x:is>
          <x:t xml:space="preserve">none</x:t>
        </x:is>
      </x:c>
      <x:c r="F3" s="22" t="n">
        <x:v>10</x:v>
      </x:c>
      <x:c r="G3" s="22" t="n">
        <x:v>1</x:v>
      </x:c>
      <x:c r="H3" s="22" t="n">
        <x:v>2000</x:v>
      </x:c>
      <x:c r="I3" s="22" t="n">
        <x:v>14</x:v>
      </x:c>
      <x:c r="J3" s="22" t="n">
        <x:v>0.5</x:v>
      </x:c>
      <x:c r="K3" s="23" t="n">
        <x:v>3</x:v>
      </x:c>
      <x:c r="L3" s="22" t="n">
        <x:v>4.5</x:v>
      </x:c>
      <x:c r="M3" s="22" t="n">
        <x:v>120</x:v>
      </x:c>
      <x:c r="N3" s="22" t="n">
        <x:v>3.2</x:v>
      </x:c>
      <x:c r="O3" s="22" t="n">
        <x:v>1.2</x:v>
      </x:c>
      <x:c r="P3" s="22" t="n">
        <x:v>2</x:v>
      </x:c>
      <x:c r="Q3" s="12" t="inlineStr">
        <x:is>
          <x:t xml:space="preserve">#D97A2E</x:t>
        </x:is>
      </x:c>
      <x:c r="R3" s="20" t="n">
        <x:v>1</x:v>
      </x:c>
      <x:c r="S3" s="20" t="n">
        <x:v>0.35</x:v>
      </x:c>
      <x:c r="T3" s="20" t="n">
        <x:v>1</x:v>
      </x:c>
      <x:c r="U3" s="20" t="n">
        <x:v>0.25</x:v>
      </x:c>
      <x:c r="V3" s="20" t="n">
        <x:v>30</x:v>
      </x:c>
    </x:row>
    <x:row r="4" s="27" customFormat="1" ht="15" customHeight="1">
      <x:c r="A4" s="10" t="inlineStr">
        <x:is>
          <x:t xml:space="preserve">mushroom</x:t>
        </x:is>
      </x:c>
      <x:c r="B4" s="10" t="inlineStr">
        <x:is>
          <x:t xml:space="preserve">蘑菇</x:t>
        </x:is>
      </x:c>
      <x:c r="C4" s="10" t="inlineStr">
        <x:is>
          <x:t xml:space="preserve">orbiting_mushroom</x:t>
        </x:is>
      </x:c>
      <x:c r="D4" s="10" t="inlineStr">
        <x:is>
          <x:t xml:space="preserve">fixed_forward</x:t>
        </x:is>
      </x:c>
      <x:c r="E4" s="10" t="inlineStr">
        <x:is>
          <x:t xml:space="preserve">none</x:t>
        </x:is>
      </x:c>
      <x:c r="F4" s="24" t="n">
        <x:v>10</x:v>
      </x:c>
      <x:c r="G4" s="24" t="n">
        <x:v>0.6</x:v>
      </x:c>
      <x:c r="H4" s="24" t="n">
        <x:v>0</x:v>
      </x:c>
      <x:c r="I4" s="24" t="n">
        <x:v>22</x:v>
      </x:c>
      <x:c r="J4" s="24" t="n">
        <x:v>4</x:v>
      </x:c>
      <x:c r="K4" s="25" t="n">
        <x:v>1</x:v>
      </x:c>
      <x:c r="L4" s="24" t="n">
        <x:v>4.5</x:v>
      </x:c>
      <x:c r="M4" s="24" t="n">
        <x:v>100</x:v>
      </x:c>
      <x:c r="N4" s="24" t="n">
        <x:v>3.2</x:v>
      </x:c>
      <x:c r="O4" s="24" t="n">
        <x:v>1.2</x:v>
      </x:c>
      <x:c r="P4" s="24" t="n">
        <x:v>2</x:v>
      </x:c>
      <x:c r="Q4" s="13" t="inlineStr">
        <x:is>
          <x:t xml:space="preserve">#73A84F</x:t>
        </x:is>
      </x:c>
      <x:c r="R4" s="20" t="n">
        <x:v>1</x:v>
      </x:c>
      <x:c r="S4" s="20" t="n">
        <x:v>1</x:v>
      </x:c>
      <x:c r="T4" s="20" t="n">
        <x:v>0.5</x:v>
      </x:c>
      <x:c r="U4" s="20" t="n">
        <x:v>0.15</x:v>
      </x:c>
      <x:c r="V4" s="20" t="n">
        <x:v>90</x:v>
      </x:c>
    </x:row>
  </x:sheetData>
  <x:dataValidations count="3">
    <x:dataValidation type="list" allowBlank="0" showDropDown="0" showInputMessage="0" showErrorMessage="0" sqref="C2:C4">
      <x:formula1>"projectile,piercing_projectile,orbiting_mushroom"</x:formula1>
    </x:dataValidation>
    <x:dataValidation type="list" allowBlank="0" showDropDown="0" showInputMessage="0" showErrorMessage="0" sqref="D2:D4">
      <x:formula1>"fixed_forward,target_snapshot"</x:formula1>
    </x:dataValidation>
    <x:dataValidation type="list" allowBlank="0" showDropDown="0" showInputMessage="0" showErrorMessage="0" sqref="E2:E4">
      <x:formula1>"none,homing"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1d95f7cf354a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1" width="24" style="27" customWidth="1"/>
    <x:col min="2" max="2" width="18" style="27" customWidth="1"/>
    <x:col min="3" max="3" width="16" style="27" customWidth="1"/>
    <x:col min="4" max="4" width="18" style="27" customWidth="1"/>
    <x:col min="5" max="7" width="16" style="27" customWidth="1"/>
    <x:col min="8" max="9" width="14" style="27" customWidth="1"/>
    <x:col min="10" max="10" width="10" style="27" customWidth="1"/>
  </x:cols>
  <x:sheetData>
    <x:row r="1" s="27" customFormat="1" ht="30" customHeight="1">
      <x:c r="A1" s="1" t="inlineStr">
        <x:is>
          <x:t xml:space="preserve">配置ID</x:t>
        </x:is>
      </x:c>
      <x:c r="B1" s="1" t="inlineStr">
        <x:is>
          <x:t xml:space="preserve">来源食材ID</x:t>
        </x:is>
      </x:c>
      <x:c r="C1" s="1" t="inlineStr">
        <x:is>
          <x:t xml:space="preserve">基础间隔(s)</x:t>
        </x:is>
      </x:c>
      <x:c r="D1" s="1" t="inlineStr">
        <x:is>
          <x:t xml:space="preserve">攻速强化倍率</x:t>
        </x:is>
      </x:c>
      <x:c r="E1" s="1" t="inlineStr">
        <x:is>
          <x:t xml:space="preserve">最小间隔(s)</x:t>
        </x:is>
      </x:c>
      <x:c r="F1" s="1" t="inlineStr">
        <x:is>
          <x:t xml:space="preserve">宽度区域数</x:t>
        </x:is>
      </x:c>
      <x:c r="G1" s="1" t="inlineStr">
        <x:is>
          <x:t xml:space="preserve">命中目标数</x:t>
        </x:is>
      </x:c>
      <x:c r="H1" s="1" t="inlineStr">
        <x:is>
          <x:t xml:space="preserve">持续倍率</x:t>
        </x:is>
      </x:c>
      <x:c r="I1" s="1" t="inlineStr">
        <x:is>
          <x:t xml:space="preserve">满足倍率</x:t>
        </x:is>
      </x:c>
      <x:c r="J1" s="1" t="inlineStr">
        <x:is>
          <x:t xml:space="preserve">启用</x:t>
        </x:is>
      </x:c>
    </x:row>
    <x:row r="2" s="27" customFormat="1" ht="15" customHeight="1">
      <x:c r="A2" s="8" t="inlineStr">
        <x:is>
          <x:t xml:space="preserve">baguette_giant</x:t>
        </x:is>
      </x:c>
      <x:c r="B2" s="8" t="inlineStr">
        <x:is>
          <x:t xml:space="preserve">baguette</x:t>
        </x:is>
      </x:c>
      <x:c r="C2" s="20" t="n">
        <x:v>3</x:v>
      </x:c>
      <x:c r="D2" s="20" t="n">
        <x:v>0.05</x:v>
      </x:c>
      <x:c r="E2" s="20" t="n">
        <x:v>1</x:v>
      </x:c>
      <x:c r="F2" s="20" t="n">
        <x:v>4</x:v>
      </x:c>
      <x:c r="G2" s="20" t="n">
        <x:v>999</x:v>
      </x:c>
      <x:c r="H2" s="20" t="n">
        <x:v>1.5</x:v>
      </x:c>
      <x:c r="I2" s="20" t="n">
        <x:v>3</x:v>
      </x:c>
      <x:c r="J2" s="20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1" width="30" style="27" customWidth="1"/>
    <x:col min="2" max="2" width="34" style="27" customWidth="1"/>
    <x:col min="3" max="3" width="48" style="27" customWidth="1"/>
  </x:cols>
  <x:sheetData>
    <x:row r="1" s="27" customFormat="1" ht="30" customHeight="1">
      <x:c r="A1" s="1" t="inlineStr">
        <x:is>
          <x:t xml:space="preserve">参数ID</x:t>
        </x:is>
      </x:c>
      <x:c r="B1" s="1" t="inlineStr">
        <x:is>
          <x:t xml:space="preserve">数值</x:t>
        </x:is>
      </x:c>
      <x:c r="C1" s="1" t="inlineStr">
        <x:is>
          <x:t xml:space="preserve">说明</x:t>
        </x:is>
      </x:c>
    </x:row>
    <x:row r="2" s="27" customFormat="1" ht="15" customHeight="1">
      <x:c r="A2" s="2" t="inlineStr">
        <x:is>
          <x:t xml:space="preserve">schema_id</x:t>
        </x:is>
      </x:c>
      <x:c r="B2" s="8" t="inlineStr">
        <x:is>
          <x:t xml:space="preserve">xiaochuxi.weapons</x:t>
        </x:is>
      </x:c>
      <x:c r="C2" s="2" t="inlineStr">
        <x:is>
          <x:t xml:space="preserve">武器表结构标识，请勿修改</x:t>
        </x:is>
      </x:c>
    </x:row>
    <x:row r="3" s="27" customFormat="1" ht="15" customHeight="1">
      <x:c r="A3" s="3" t="inlineStr">
        <x:is>
          <x:t xml:space="preserve">schema_version</x:t>
        </x:is>
      </x:c>
      <x:c r="B3" s="10" t="n">
        <x:v>2</x:v>
      </x:c>
      <x:c r="C3" s="3" t="inlineStr">
        <x:is>
          <x:t xml:space="preserve">结构版本，请勿修改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0a6f59bfe944e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1" width="20" style="27" customWidth="1"/>
    <x:col min="2" max="2" width="94" style="27" customWidth="1"/>
  </x:cols>
  <x:sheetData>
    <x:row r="1" s="27" customFormat="1" ht="30" customHeight="1">
      <x:c r="A1" s="1" t="inlineStr">
        <x:is>
          <x:t xml:space="preserve">项目</x:t>
        </x:is>
      </x:c>
      <x:c r="B1" s="1" t="inlineStr">
        <x:is>
          <x:t xml:space="preserve">说明</x:t>
        </x:is>
      </x:c>
    </x:row>
    <x:row r="2" s="27" customFormat="1" ht="42" customHeight="1">
      <x:c r="A2" s="8" t="inlineStr">
        <x:is>
          <x:t xml:space="preserve">生效方式</x:t>
        </x:is>
      </x:c>
      <x:c r="B2" s="14" t="inlineStr">
        <x:is>
          <x:t xml:space="preserve">保存并关闭工作簿后，重新开始本局或重新运行 run_3d.tscn。运行中的既有单局不会热替换武器。</x:t>
        </x:is>
      </x:c>
    </x:row>
    <x:row r="3" s="27" customFormat="1" ht="42" customHeight="1">
      <x:c r="A3" s="9" t="inlineStr">
        <x:is>
          <x:t xml:space="preserve">输入颜色</x:t>
        </x:is>
      </x:c>
      <x:c r="B3" s="15" t="inlineStr">
        <x:is>
          <x:t xml:space="preserve">黄色是常用数值输入；绿色是标识和枚举字段，只有确认调用关系后再修改。</x:t>
        </x:is>
      </x:c>
    </x:row>
    <x:row r="4" s="27" customFormat="1" ht="42" customHeight="1">
      <x:c r="A4" s="9" t="inlineStr">
        <x:is>
          <x:t xml:space="preserve">范围关系</x:t>
        </x:is>
      </x:c>
      <x:c r="B4" s="15" t="inlineStr">
        <x:is>
          <x:t xml:space="preserve">投射武器射程由弹速 × 持续时间决定；环绕武器主要读取环绕半径和角速度。</x:t>
        </x:is>
      </x:c>
    </x:row>
    <x:row r="5" s="27" customFormat="1" ht="42" customHeight="1">
      <x:c r="A5" s="9" t="inlineStr">
        <x:is>
          <x:t xml:space="preserve">结构限制</x:t>
        </x:is>
      </x:c>
      <x:c r="B5" s="15" t="inlineStr">
        <x:is>
          <x:t xml:space="preserve">新增食材或衍生攻击行只提供数值，不会自动生成正式模型、动画或新的特殊强化卡。</x:t>
        </x:is>
      </x:c>
    </x:row>
    <x:row r="6" s="27" customFormat="1" ht="42" customHeight="1">
      <x:c r="A6" s="10" t="inlineStr">
        <x:is>
          <x:t xml:space="preserve">失败回退</x:t>
        </x:is>
      </x:c>
      <x:c r="B6" s="16" t="inlineStr">
        <x:is>
          <x:t xml:space="preserve">文件缺失、字段非法或结构不匹配时，游戏使用 scenes/run_3d.tscn 中装配的 data/foods/*.tres。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ee944bffd284f1b"/>
  </x:tableParts>
</x:worksheet>
</file>