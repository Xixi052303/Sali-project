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5a384ff03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6b82fc53b764335"/>
    <x:sheet xmlns:r="http://schemas.openxmlformats.org/officeDocument/2006/relationships" name="食材" sheetId="2" r:id="Ref9c0278427c4432"/>
    <x:sheet xmlns:r="http://schemas.openxmlformats.org/officeDocument/2006/relationships" name="食客" sheetId="3" r:id="Re9eac8feb9d54200"/>
    <x:sheet xmlns:r="http://schemas.openxmlformats.org/officeDocument/2006/relationships" name="强化" sheetId="4" r:id="R25069815fd21456d"/>
    <x:sheet xmlns:r="http://schemas.openxmlformats.org/officeDocument/2006/relationships" name="稀有度" sheetId="5" r:id="Rea17d8544d6843fd"/>
    <x:sheet xmlns:r="http://schemas.openxmlformats.org/officeDocument/2006/relationships" name="时间轴" sheetId="6" r:id="Rccbf6a9156ed4d9f"/>
    <x:sheet xmlns:r="http://schemas.openxmlformats.org/officeDocument/2006/relationships" name="普通波次" sheetId="7" r:id="Rd0e7df402ea14e63"/>
    <x:sheet xmlns:r="http://schemas.openxmlformats.org/officeDocument/2006/relationships" name="Boss" sheetId="8" r:id="R3a0f46d0e9f34e67"/>
    <x:sheet xmlns:r="http://schemas.openxmlformats.org/officeDocument/2006/relationships" name="战斗与场地" sheetId="9" r:id="Ra01fcb0103d94da8"/>
    <x:sheet xmlns:r="http://schemas.openxmlformats.org/officeDocument/2006/relationships" name="特殊强化" sheetId="10" r:id="Rf11f658921b24438"/>
    <x:sheet xmlns:r="http://schemas.openxmlformats.org/officeDocument/2006/relationships" name="公式规则" sheetId="11" r:id="R2778590051bf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"/>
    <x:numFmt numFmtId="202" formatCode="0.000"/>
    <x:numFmt numFmtId="203" formatCode="0.0%"/>
    <x:numFmt numFmtId="204" formatCode="0.0"/>
    <x:numFmt numFmtId="205" formatCode="0%"/>
    <x:numFmt numFmtId="206" formatCode="General"/>
  </x:numFmts>
  <x:fonts count="8">
    <x:font>
      <x:sz val="11"/>
      <x:name val="Carlito"/>
    </x:font>
    <x:font>
      <x:b/>
      <x:sz val="16"/>
      <x:color rgb="FFFFFFFF"/>
      <x:name val="Microsoft YaHei"/>
    </x:font>
    <x:font>
      <x:sz val="10"/>
      <x:color rgb="FF5E6A6E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0"/>
      <x:color rgb="FF243238"/>
      <x:name val="Microsoft YaHei"/>
    </x:font>
    <x:font>
      <x:sz val="10"/>
      <x:color rgb="FF23506A"/>
      <x:name val="Microsoft YaHei"/>
    </x:font>
    <x:font>
      <x:b/>
      <x:sz val="10"/>
      <x:color rgb="FF243238"/>
      <x:name val="Consolas"/>
    </x:font>
  </x:fonts>
  <x:fills count="11">
    <x:fill>
      <x:patternFill patternType="none"/>
    </x:fill>
    <x:fill>
      <x:patternFill patternType="gray125"/>
    </x:fill>
    <x:fill>
      <x:patternFill patternType="solid">
        <x:fgColor rgb="FF243238"/>
      </x:patternFill>
    </x:fill>
    <x:fill>
      <x:patternFill patternType="solid">
        <x:fgColor rgb="FFFAFAF7"/>
      </x:patternFill>
    </x:fill>
    <x:fill>
      <x:patternFill patternType="solid">
        <x:fgColor rgb="FF2D6F6A"/>
      </x:patternFill>
    </x:fill>
    <x:fill>
      <x:patternFill patternType="solid">
        <x:fgColor rgb="FFFFF3CD"/>
      </x:patternFill>
    </x:fill>
    <x:fill>
      <x:patternFill patternType="solid">
        <x:fgColor rgb="FFE8F2F8"/>
      </x:patternFill>
    </x:fill>
    <x:fill>
      <x:patternFill patternType="solid">
        <x:fgColor rgb="FFD7C59A"/>
      </x:patternFill>
    </x:fill>
    <x:fill>
      <x:patternFill patternType="solid">
        <x:fgColor rgb="FF73B8A6"/>
      </x:patternFill>
    </x:fill>
    <x:fill>
      <x:patternFill patternType="solid">
        <x:fgColor rgb="FFC88AD4"/>
      </x:patternFill>
    </x:fill>
    <x:fill>
      <x:patternFill patternType="solid">
        <x:fgColor rgb="FFF0C45F"/>
      </x:patternFill>
    </x:fill>
  </x:fills>
  <x:borders count="4">
    <x:border/>
    <x:border>
      <x:bottom style="thin">
        <x:color rgb="FFD7DDD9"/>
      </x:bottom>
    </x:border>
    <x:border>
      <x:top style="thin">
        <x:color rgb="FFD7DDD9"/>
      </x:top>
      <x:bottom style="thin">
        <x:color rgb="FFD7DDD9"/>
      </x:bottom>
    </x:border>
    <x:border>
      <x:top style="thin">
        <x:color rgb="FFD7DDD9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200" fontId="5" fillId="5" borderId="3" xfId="0" applyNumberFormat="1" applyFont="1" applyFill="1" applyBorder="1" applyAlignment="1">
      <x:alignment vertical="center"/>
    </x:xf>
    <x:xf numFmtId="201" fontId="5" fillId="5" borderId="1" xfId="0" applyNumberFormat="1" applyFont="1" applyFill="1" applyBorder="1" applyAlignment="1">
      <x:alignment vertical="center"/>
    </x:xf>
    <x:xf numFmtId="201" fontId="5" fillId="5" borderId="3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0" fontId="6" fillId="6" borderId="3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202" fontId="5" fillId="5" borderId="1" xfId="0" applyNumberFormat="1" applyFont="1" applyFill="1" applyBorder="1" applyAlignment="1">
      <x:alignment vertical="center"/>
    </x:xf>
    <x:xf numFmtId="202" fontId="5" fillId="5" borderId="2" xfId="0" applyNumberFormat="1" applyFont="1" applyFill="1" applyBorder="1" applyAlignment="1">
      <x:alignment vertical="center"/>
    </x:xf>
    <x:xf numFmtId="202" fontId="5" fillId="5" borderId="3" xfId="0" applyNumberFormat="1" applyFont="1" applyFill="1" applyBorder="1" applyAlignment="1">
      <x:alignment vertical="center"/>
    </x:xf>
    <x:xf numFmtId="201" fontId="5" fillId="5" borderId="2" xfId="0" applyNumberFormat="1" applyFont="1" applyFill="1" applyBorder="1" applyAlignment="1">
      <x:alignment vertical="center"/>
    </x:xf>
    <x:xf numFmtId="203" fontId="5" fillId="5" borderId="1" xfId="0" applyNumberFormat="1" applyFont="1" applyFill="1" applyBorder="1" applyAlignment="1">
      <x:alignment vertical="center"/>
    </x:xf>
    <x:xf numFmtId="203" fontId="5" fillId="5" borderId="2" xfId="0" applyNumberFormat="1" applyFont="1" applyFill="1" applyBorder="1" applyAlignment="1">
      <x:alignment vertical="center"/>
    </x:xf>
    <x:xf numFmtId="203" fontId="5" fillId="5" borderId="3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vertical="center"/>
    </x:xf>
    <x:xf numFmtId="201" fontId="6" fillId="6" borderId="2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vertical="center"/>
    </x:xf>
    <x:xf numFmtId="202" fontId="6" fillId="6" borderId="1" xfId="0" applyNumberFormat="1" applyFont="1" applyFill="1" applyBorder="1" applyAlignment="1">
      <x:alignment vertical="center"/>
    </x:xf>
    <x:xf numFmtId="202" fontId="6" fillId="6" borderId="2" xfId="0" applyNumberFormat="1" applyFont="1" applyFill="1" applyBorder="1" applyAlignment="1">
      <x:alignment vertical="center"/>
    </x:xf>
    <x:xf numFmtId="202" fontId="6" fillId="6" borderId="3" xfId="0" applyNumberFormat="1" applyFont="1" applyFill="1" applyBorder="1" applyAlignment="1">
      <x:alignment vertical="center"/>
    </x:xf>
    <x:xf numFmtId="203" fontId="6" fillId="6" borderId="1" xfId="0" applyNumberFormat="1" applyFont="1" applyFill="1" applyBorder="1" applyAlignment="1">
      <x:alignment vertical="center"/>
    </x:xf>
    <x:xf numFmtId="203" fontId="6" fillId="6" borderId="2" xfId="0" applyNumberFormat="1" applyFont="1" applyFill="1" applyBorder="1" applyAlignment="1">
      <x:alignment vertical="center"/>
    </x:xf>
    <x:xf numFmtId="204" fontId="5" fillId="5" borderId="2" xfId="0" applyNumberFormat="1" applyFont="1" applyFill="1" applyBorder="1" applyAlignment="1">
      <x:alignment vertical="center"/>
    </x:xf>
    <x:xf numFmtId="204" fontId="6" fillId="6" borderId="2" xfId="0" applyNumberFormat="1" applyFont="1" applyFill="1" applyBorder="1" applyAlignment="1">
      <x:alignment vertical="center"/>
    </x:xf>
    <x:xf numFmtId="203" fontId="6" fillId="6" borderId="3" xfId="0" applyNumberFormat="1" applyFont="1" applyFill="1" applyBorder="1" applyAlignment="1">
      <x:alignment vertical="center"/>
    </x:xf>
    <x:xf numFmtId="205" fontId="5" fillId="5" borderId="1" xfId="0" applyNumberFormat="1" applyFont="1" applyFill="1" applyBorder="1" applyAlignment="1">
      <x:alignment vertical="center"/>
    </x:xf>
    <x:xf numFmtId="205" fontId="5" fillId="5" borderId="2" xfId="0" applyNumberFormat="1" applyFont="1" applyFill="1" applyBorder="1" applyAlignment="1">
      <x:alignment vertical="center"/>
    </x:xf>
    <x:xf numFmtId="205" fontId="5" fillId="5" borderId="3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/>
    </x:xf>
    <x:xf numFmtId="0" fontId="7" fillId="8" borderId="2" xfId="0" applyNumberFormat="1" applyFont="1" applyFill="1" applyBorder="1" applyAlignment="1">
      <x:alignment vertical="center"/>
    </x:xf>
    <x:xf numFmtId="0" fontId="5" fillId="9" borderId="2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/>
    </x:xf>
    <x:xf numFmtId="0" fontId="7" fillId="10" borderId="3" xfId="0" applyNumberFormat="1" applyFont="1" applyFill="1" applyBorder="1" applyAlignment="1">
      <x:alignment vertical="center"/>
    </x:xf>
    <x:xf numFmtId="200" fontId="5" fillId="5" borderId="2" xfId="0" applyNumberFormat="1" applyFont="1" applyFill="1" applyBorder="1" applyAlignment="1">
      <x:alignment vertical="center"/>
    </x:xf>
    <x:xf numFmtId="204" fontId="5" fillId="5" borderId="1" xfId="0" applyNumberFormat="1" applyFont="1" applyFill="1" applyBorder="1" applyAlignment="1">
      <x:alignment vertical="center"/>
    </x:xf>
    <x:xf numFmtId="204" fontId="5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1" fontId="6" fillId="6" borderId="0" xfId="0" applyNumberFormat="1" applyFont="1" applyFill="1" applyBorder="1"/>
    <x:xf numFmtId="204" fontId="6" fillId="6" borderId="1" xfId="0" applyNumberFormat="1" applyFont="1" applyFill="1" applyBorder="1" applyAlignment="1">
      <x:alignment vertical="center"/>
    </x:xf>
    <x:xf numFmtId="204" fontId="6" fillId="6" borderId="3" xfId="0" applyNumberFormat="1" applyFont="1" applyFill="1" applyBorder="1" applyAlignment="1">
      <x:alignment vertical="center"/>
    </x:xf>
    <x:xf numFmtId="206" fontId="6" fillId="6" borderId="1" xfId="0" applyNumberFormat="1" applyFont="1" applyFill="1" applyBorder="1" applyAlignment="1">
      <x:alignment vertical="center"/>
    </x:xf>
    <x:xf numFmtId="206" fontId="6" fillId="6" borderId="2" xfId="0" applyNumberFormat="1" applyFont="1" applyFill="1" applyBorder="1" applyAlignment="1">
      <x:alignment vertical="center"/>
    </x:xf>
    <x:xf numFmtId="206" fontId="6" fillId="6" borderId="3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202" fontId="6" fillId="6" borderId="1" xfId="0" applyNumberFormat="1" applyFont="1" applyFill="1" applyBorder="1" applyAlignment="1">
      <x:alignment vertical="center" wrapText="1"/>
    </x:xf>
    <x:xf numFmtId="202" fontId="6" fillId="6" borderId="2" xfId="0" applyNumberFormat="1" applyFont="1" applyFill="1" applyBorder="1" applyAlignment="1">
      <x:alignment vertical="center" wrapText="1"/>
    </x:xf>
    <x:xf numFmtId="203" fontId="6" fillId="6" borderId="2" xfId="0" applyNumberFormat="1" applyFont="1" applyFill="1" applyBorder="1" applyAlignment="1">
      <x:alignment vertical="center" wrapText="1"/>
    </x:xf>
    <x:xf numFmtId="202" fontId="6" fillId="6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49c8ff7b743d3" /><Relationship Type="http://schemas.openxmlformats.org/officeDocument/2006/relationships/theme" Target="/xl/theme/theme1.xml" Id="Ra8e0928f07884f24" /><Relationship Type="http://schemas.openxmlformats.org/officeDocument/2006/relationships/sharedStrings" Target="/xl/sharedStrings.xml" Id="R56a01dfe860b451d" /><Relationship Type="http://schemas.openxmlformats.org/officeDocument/2006/relationships/worksheet" Target="/xl/worksheets/sheet1.xml" Id="R96b82fc53b764335" /><Relationship Type="http://schemas.openxmlformats.org/officeDocument/2006/relationships/worksheet" Target="/xl/worksheets/sheet2.xml" Id="Ref9c0278427c4432" /><Relationship Type="http://schemas.openxmlformats.org/officeDocument/2006/relationships/worksheet" Target="/xl/worksheets/sheet3.xml" Id="Re9eac8feb9d54200" /><Relationship Type="http://schemas.openxmlformats.org/officeDocument/2006/relationships/worksheet" Target="/xl/worksheets/sheet4.xml" Id="R25069815fd21456d" /><Relationship Type="http://schemas.openxmlformats.org/officeDocument/2006/relationships/worksheet" Target="/xl/worksheets/sheet5.xml" Id="Rea17d8544d6843fd" /><Relationship Type="http://schemas.openxmlformats.org/officeDocument/2006/relationships/worksheet" Target="/xl/worksheets/sheet6.xml" Id="Rccbf6a9156ed4d9f" /><Relationship Type="http://schemas.openxmlformats.org/officeDocument/2006/relationships/worksheet" Target="/xl/worksheets/sheet7.xml" Id="Rd0e7df402ea14e63" /><Relationship Type="http://schemas.openxmlformats.org/officeDocument/2006/relationships/worksheet" Target="/xl/worksheets/sheet8.xml" Id="R3a0f46d0e9f34e67" /><Relationship Type="http://schemas.openxmlformats.org/officeDocument/2006/relationships/worksheet" Target="/xl/worksheets/sheet9.xml" Id="Ra01fcb0103d94da8" /><Relationship Type="http://schemas.openxmlformats.org/officeDocument/2006/relationships/worksheet" Target="/xl/worksheets/sheet10.xml" Id="Rf11f658921b24438" /><Relationship Type="http://schemas.openxmlformats.org/officeDocument/2006/relationships/worksheet" Target="/xl/worksheets/sheet11.xml" Id="R2778590051bf4d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b9e6521c9849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当前基准胃口曲线</a:t>
            </a:r>
          </a:p>
        </c:rich>
      </c:tx>
    </c:title>
    <c:plotArea>
      <c:lineChart>
        <c:grouping val="standard"/>
        <c:ser>
          <c:idx val="0"/>
          <c:order val="0"/>
          <c:tx>
            <c:v>基准胃口</c:v>
          </c:tx>
          <c:marker>
            <c:symbol val="none"/>
          </c:marker>
          <c:cat>
            <c:strRef>
              <c:f>'时间轴'!$H$7:$H$16</c:f>
              <c:strCache>
                <c:ptCount val="0"/>
              </c:strCache>
            </c:strRef>
          </c:cat>
          <c:val>
            <c:numRef>
              <c:f>'时间轴'!$I$7:$I$16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时间（秒）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3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基准胃口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b9e6521c9849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viewUsage" displayName="OverviewUsage" ref="A6:D10" headerRowCount="1" totalsRowCount="0" totalsRowShown="0">
  <x:autoFilter ref="A6:D10"/>
  <x:tableColumns count="4">
    <x:tableColumn id="1" name="项目"/>
    <x:tableColumn id="2" name="当前状态"/>
    <x:tableColumn id="3" name="说明"/>
    <x:tableColumn id="4" name="下一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Scope" displayName="OverviewScope" ref="A13:F15" headerRowCount="1" totalsRowCount="0" totalsRowShown="0">
  <x:autoFilter ref="A13:F15"/>
  <x:tableColumns count="6">
    <x:tableColumn id="1" name="口径"/>
    <x:tableColumn id="2" name="单局/时间"/>
    <x:tableColumn id="3" name="普通门"/>
    <x:tableColumn id="4" name="精英"/>
    <x:tableColumn id="5" name="Boss"/>
    <x:tableColumn id="6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verviewNavigation" displayName="OverviewNavigation" ref="A18:D28" headerRowCount="1" totalsRowCount="0" totalsRowShown="0">
  <x:autoFilter ref="A18:D28"/>
  <x:tableColumns count="4">
    <x:tableColumn id="1" name="工作表"/>
    <x:tableColumn id="2" name="内容"/>
    <x:tableColumn id="3" name="主要事实源"/>
    <x:tableColumn id="4" name="是否含公式预览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odsTable" displayName="FoodsTable" ref="A5:P7" headerRowCount="1" totalsRowCount="0" totalsRowShown="0">
  <x:autoFilter ref="A5:P7"/>
  <x:tableColumns count="16">
    <x:tableColumn id="1" name="ID"/>
    <x:tableColumn id="2" name="名称"/>
    <x:tableColumn id="3" name="攻击类型"/>
    <x:tableColumn id="4" name="初始瞄准"/>
    <x:tableColumn id="5" name="初始追踪"/>
    <x:tableColumn id="6" name="追踪转向(rad/s)"/>
    <x:tableColumn id="7" name="单次满足"/>
    <x:tableColumn id="8" name="攻击间隔(s)"/>
    <x:tableColumn id="9" name="弹速(px/s)"/>
    <x:tableColumn id="10" name="半径(px)"/>
    <x:tableColumn id="11" name="寿命(s)"/>
    <x:tableColumn id="12" name="最大命中数"/>
    <x:tableColumn id="13" name="基础攻击/秒"/>
    <x:tableColumn id="14" name="基础满足/秒"/>
    <x:tableColumn id="15" name="理论直线行程(px)"/>
    <x:tableColumn id="1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stomersTable" displayName="CustomersTable" ref="A5:M9" headerRowCount="1" totalsRowCount="0" totalsRowShown="0">
  <x:autoFilter ref="A5:M9"/>
  <x:tableColumns count="13">
    <x:tableColumn id="1" name="ID"/>
    <x:tableColumn id="2" name="名称"/>
    <x:tableColumn id="3" name="类型"/>
    <x:tableColumn id="4" name="胃口倍率"/>
    <x:tableColumn id="5" name="自身移速(px/s)"/>
    <x:tableColumn id="6" name="占据区域"/>
    <x:tableColumn id="7" name="远程伤害比例"/>
    <x:tableColumn id="8" name="攻击间隔(s)"/>
    <x:tableColumn id="9" name="曲线起点胃口(p=0)"/>
    <x:tableColumn id="10" name="曲线起点胃口(p=1)"/>
    <x:tableColumn id="11" name="曲线终点胃口(p=0)"/>
    <x:tableColumn id="12" name="曲线终点胃口(p=1)"/>
    <x:tableColumn id="13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pgradesTable" displayName="UpgradesTable" ref="A5:L21" headerRowCount="1" totalsRowCount="0" totalsRowShown="0">
  <x:autoFilter ref="A5:L21"/>
  <x:tableColumns count="12">
    <x:tableColumn id="1" name="池"/>
    <x:tableColumn id="2" name="序号"/>
    <x:tableColumn id="3" name="ID"/>
    <x:tableColumn id="4" name="显示名"/>
    <x:tableColumn id="5" name="类型"/>
    <x:tableColumn id="6" name="最小值"/>
    <x:tableColumn id="7" name="最大值"/>
    <x:tableColumn id="8" name="单位"/>
    <x:tableColumn id="9" name="实际作用"/>
    <x:tableColumn id="10" name="累计方式"/>
    <x:tableColumn id="11" name="区间中点"/>
    <x:tableColumn id="12" name="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rityTable" displayName="RarityTable" ref="A5:G9" headerRowCount="1" totalsRowCount="0" totalsRowShown="0">
  <x:autoFilter ref="A5:G9"/>
  <x:tableColumns count="7">
    <x:tableColumn id="1" name="档位"/>
    <x:tableColumn id="2" name="名称"/>
    <x:tableColumn id="3" name="p 下限"/>
    <x:tableColumn id="4" name="p 上限"/>
    <x:tableColumn id="5" name="颜色"/>
    <x:tableColumn id="6" name="判定"/>
    <x:tableColumn id="7" name="来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imelineParams" displayName="TimelineParams" ref="A6:D10" headerRowCount="1" totalsRowCount="0" totalsRowShown="0">
  <x:autoFilter ref="A6:D10"/>
  <x:tableColumns count="4">
    <x:tableColumn id="1" name="参数"/>
    <x:tableColumn id="2" name="当前值"/>
    <x:tableColumn id="3" name="单位"/>
    <x:tableColumn id="4" name="来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imelineEvents" displayName="TimelineEvents" ref="A13:F28" headerRowCount="1" totalsRowCount="0" totalsRowShown="0">
  <x:autoFilter ref="A13:F28"/>
  <x:tableColumns count="6">
    <x:tableColumn id="1" name="序号"/>
    <x:tableColumn id="2" name="请求时间(s)"/>
    <x:tableColumn id="3" name="事件 ID"/>
    <x:tableColumn id="4" name="类型"/>
    <x:tableColumn id="5" name="基准胃口"/>
    <x:tableColumn id="6" name="来源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WaveParams" displayName="WaveParams" ref="A6:E14" headerRowCount="1" totalsRowCount="0" totalsRowShown="0">
  <x:autoFilter ref="A6:E14"/>
  <x:tableColumns count="5">
    <x:tableColumn id="1" name="参数"/>
    <x:tableColumn id="2" name="当前值"/>
    <x:tableColumn id="3" name="单位"/>
    <x:tableColumn id="4" name="说明"/>
    <x:tableColumn id="5" name="来源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vePreview" displayName="WavePreview" ref="A17:H59" headerRowCount="1" totalsRowCount="0" totalsRowShown="0">
  <x:autoFilter ref="A17:H59"/>
  <x:tableColumns count="8">
    <x:tableColumn id="1" name="波次"/>
    <x:tableColumn id="2" name="索引"/>
    <x:tableColumn id="3" name="请求时间(s)"/>
    <x:tableColumn id="4" name="模式位"/>
    <x:tableColumn id="5" name="主食客"/>
    <x:tableColumn id="6" name="追加食客"/>
    <x:tableColumn id="7" name="下次增加(s)"/>
    <x:tableColumn id="8" name="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ossResource" displayName="BossResource" ref="A6:F12" headerRowCount="1" totalsRowCount="0" totalsRowShown="0">
  <x:autoFilter ref="A6:F12"/>
  <x:tableColumns count="6">
    <x:tableColumn id="1" name="名称"/>
    <x:tableColumn id="2" name="参数"/>
    <x:tableColumn id="3" name="当前值"/>
    <x:tableColumn id="4" name="单位"/>
    <x:tableColumn id="5" name="说明"/>
    <x:tableColumn id="6" name="来源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ossBehavior" displayName="BossBehavior" ref="A16:F27" headerRowCount="1" totalsRowCount="0" totalsRowShown="0">
  <x:autoFilter ref="A16:F27"/>
  <x:tableColumns count="6">
    <x:tableColumn id="1" name="阶段"/>
    <x:tableColumn id="2" name="参数"/>
    <x:tableColumn id="3" name="当前值"/>
    <x:tableColumn id="4" name="单位"/>
    <x:tableColumn id="5" name="说明"/>
    <x:tableColumn id="6" name="来源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mbatFieldTable" displayName="CombatFieldTable" ref="A5:F48" headerRowCount="1" totalsRowCount="0" totalsRowShown="0">
  <x:autoFilter ref="A5:F48"/>
  <x:tableColumns count="6">
    <x:tableColumn id="1" name="系统"/>
    <x:tableColumn id="2" name="参数"/>
    <x:tableColumn id="3" name="当前值"/>
    <x:tableColumn id="4" name="单位"/>
    <x:tableColumn id="5" name="用途/规则"/>
    <x:tableColumn id="6" name="来源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pecialChoices" displayName="SpecialChoices" ref="A5:G8" headerRowCount="1" totalsRowCount="0" totalsRowShown="0">
  <x:autoFilter ref="A5:G8"/>
  <x:tableColumns count="7">
    <x:tableColumn id="1" name="选择 ID"/>
    <x:tableColumn id="2" name="显示/效果"/>
    <x:tableColumn id="3" name="数值变化"/>
    <x:tableColumn id="4" name="作用范围"/>
    <x:tableColumn id="5" name="是否可重复"/>
    <x:tableColumn id="6" name="来源"/>
    <x:tableColumn id="7" name="备注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FormulaRules" displayName="FormulaRules" ref="A5:G23" headerRowCount="1" totalsRowCount="0" totalsRowShown="0">
  <x:autoFilter ref="A5:G23"/>
  <x:tableColumns count="7">
    <x:tableColumn id="1" name="系统"/>
    <x:tableColumn id="2" name="规则"/>
    <x:tableColumn id="3" name="业务公式"/>
    <x:tableColumn id="4" name="当前示例输入"/>
    <x:tableColumn id="5" name="示例结果"/>
    <x:tableColumn id="6" name="来源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ae918466d2418d" /><Relationship Type="http://schemas.openxmlformats.org/officeDocument/2006/relationships/table" Target="/xl/tables/table2.xml" Id="Rfee8fefba55745e6" /><Relationship Type="http://schemas.openxmlformats.org/officeDocument/2006/relationships/table" Target="/xl/tables/table3.xml" Id="Rc2c6fd28c67347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2b457a0b430f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1b591c45c0e848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ef381823b026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786c89a7a06d40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787f4dd7dca48b3" /><Relationship Type="http://schemas.openxmlformats.org/officeDocument/2006/relationships/table" Target="/xl/tables/table8.xml" Id="R8fd411838f3d45e3" /><Relationship Type="http://schemas.openxmlformats.org/officeDocument/2006/relationships/table" Target="/xl/tables/table9.xml" Id="R1198b54a31404b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374a87ddf3684de6" /><Relationship Type="http://schemas.openxmlformats.org/officeDocument/2006/relationships/table" Target="/xl/tables/table11.xml" Id="Ra9940b041f2a42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820aeb21ea644da6" /><Relationship Type="http://schemas.openxmlformats.org/officeDocument/2006/relationships/table" Target="/xl/tables/table13.xml" Id="R23ce4f16c5b04b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4.xml" Id="R3ea470a8e8db43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5.xml" Id="R49f2358721804c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6.xml" Id="R59684884ebfd41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0" hidden="0" customWidth="1"/>
    <x:col min="3" max="3" width="48" hidden="0" customWidth="1"/>
    <x:col min="4" max="4" width="20" hidden="0" customWidth="1"/>
    <x:col min="5" max="5" width="12" hidden="0" customWidth="1"/>
    <x:col min="6" max="6" width="46" hidden="0" customWidth="1"/>
  </x:cols>
  <x:sheetData>
    <x:row r="1" ht="40" customHeight="1">
      <x:c r="A1" s="3" t="str">
        <x:v>小厨西 · 当前实现数值快照</x:v>
      </x:c>
      <x:c r="B1" s="3"/>
      <x:c r="C1" s="3"/>
      <x:c r="D1" s="3"/>
      <x:c r="E1" s="3"/>
      <x:c r="F1" s="3"/>
      <x:c r="G1" s="3"/>
      <x:c r="H1" s="3"/>
    </x:row>
    <x:row r="2" ht="24" customHeight="1">
      <x:c r="A2" s="9" t="str">
        <x:v>范围：当前可运行竖切片中已经写入 Excel 主表、.tres、脚本常量或脚本规则的玩法数值。黄色单元格可用于方案推演，蓝色单元格为公式预览；只有独立的“时间轴.xlsx”直接驱动游戏。</x:v>
      </x:c>
      <x:c r="B2" s="9"/>
      <x:c r="C2" s="9"/>
      <x:c r="D2" s="9"/>
      <x:c r="E2" s="9"/>
      <x:c r="F2" s="9"/>
      <x:c r="G2" s="9"/>
      <x:c r="H2" s="9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</x:row>
    <x:row r="4">
      <x:c r="A4" s="87"/>
      <x:c r="B4" s="87"/>
      <x:c r="C4" s="87"/>
      <x:c r="D4" s="87"/>
      <x:c r="E4" s="87"/>
      <x:c r="F4" s="87"/>
      <x:c r="G4" s="87"/>
      <x:c r="H4" s="87"/>
    </x:row>
    <x:row r="5" ht="26" customHeight="1">
      <x:c r="A5" s="13" t="str">
        <x:v>使用方式</x:v>
      </x:c>
      <x:c r="B5" s="13" t="str">
        <x:v>使用方式</x:v>
      </x:c>
      <x:c r="C5" s="13" t="str">
        <x:v>使用方式</x:v>
      </x:c>
      <x:c r="D5" s="13" t="str">
        <x:v>使用方式</x:v>
      </x:c>
      <x:c r="E5" s="13" t="str">
        <x:v>使用方式</x:v>
      </x:c>
      <x:c r="F5" s="13" t="str">
        <x:v>使用方式</x:v>
      </x:c>
      <x:c r="G5" s="13" t="str">
        <x:v>使用方式</x:v>
      </x:c>
      <x:c r="H5" s="13" t="str">
        <x:v>使用方式</x:v>
      </x:c>
    </x:row>
    <x:row r="6" ht="30" customHeight="1">
      <x:c r="A6" s="16" t="str">
        <x:v>项目</x:v>
      </x:c>
      <x:c r="B6" s="16" t="str">
        <x:v>当前状态</x:v>
      </x:c>
      <x:c r="C6" s="16" t="str">
        <x:v>说明</x:v>
      </x:c>
      <x:c r="D6" s="16" t="str">
        <x:v>下一步</x:v>
      </x:c>
      <x:c r="E6" s="87"/>
      <x:c r="F6" s="87"/>
      <x:c r="G6" s="87"/>
      <x:c r="H6" s="87"/>
    </x:row>
    <x:row r="7" ht="42" customHeight="1">
      <x:c r="A7" s="19" t="str">
        <x:v>事实口径</x:v>
      </x:c>
      <x:c r="B7" s="19" t="str">
        <x:v>当前实现</x:v>
      </x:c>
      <x:c r="C7" s="22" t="str">
        <x:v>只记录 project.godot、scenes、scripts、data 中实际加载或执行的值</x:v>
      </x:c>
      <x:c r="D7" s="22" t="str">
        <x:v>调整前先核对来源列</x:v>
      </x:c>
      <x:c r="E7" s="87"/>
      <x:c r="F7" s="87"/>
      <x:c r="G7" s="87"/>
      <x:c r="H7" s="87"/>
    </x:row>
    <x:row r="8" ht="42" customHeight="1">
      <x:c r="A8" s="20" t="str">
        <x:v>Excel 接入</x:v>
      </x:c>
      <x:c r="B8" s="20" t="str">
        <x:v>时间轴已接入</x:v>
      </x:c>
      <x:c r="C8" s="23" t="str">
        <x:v>同目录“时间轴.xlsx”是时间轴运行主源；本综合表仍是查看与推演快照</x:v>
      </x:c>
      <x:c r="D8" s="23" t="str">
        <x:v>时间轴请改小表，其他数值仍需同步对应资源或脚本</x:v>
      </x:c>
      <x:c r="E8" s="87"/>
      <x:c r="F8" s="87"/>
      <x:c r="G8" s="87"/>
      <x:c r="H8" s="87"/>
    </x:row>
    <x:row r="9" ht="42" customHeight="1">
      <x:c r="A9" s="20" t="str">
        <x:v>颜色</x:v>
      </x:c>
      <x:c r="B9" s="20" t="str">
        <x:v>黄=输入 / 蓝=计算</x:v>
      </x:c>
      <x:c r="C9" s="23" t="str">
        <x:v>黄色值可用于方案推演，蓝色值由公式随输入更新</x:v>
      </x:c>
      <x:c r="D9" s="23" t="str">
        <x:v>不要覆盖蓝色公式</x:v>
      </x:c>
      <x:c r="E9" s="87"/>
      <x:c r="F9" s="87"/>
      <x:c r="G9" s="87"/>
      <x:c r="H9" s="87"/>
    </x:row>
    <x:row r="10" ht="42" customHeight="1">
      <x:c r="A10" s="21" t="str">
        <x:v>排除范围</x:v>
      </x:c>
      <x:c r="B10" s="21" t="str">
        <x:v>纯视觉参数</x:v>
      </x:c>
      <x:c r="C10" s="24" t="str">
        <x:v>绘制坐标、颜色、字号、反馈动画等未纳入；会改变碰撞或判定的尺寸已纳入</x:v>
      </x:c>
      <x:c r="D10" s="24" t="str">
        <x:v>需要美术参数表时另行导出</x:v>
      </x:c>
      <x:c r="E10" s="87"/>
      <x:c r="F10" s="87"/>
      <x:c r="G10" s="87"/>
      <x:c r="H10" s="87"/>
    </x:row>
    <x:row r="11">
      <x:c r="A11" s="87"/>
      <x:c r="B11" s="87"/>
      <x:c r="C11" s="87"/>
      <x:c r="D11" s="87"/>
      <x:c r="E11" s="87"/>
      <x:c r="F11" s="87"/>
      <x:c r="G11" s="87"/>
      <x:c r="H11" s="87"/>
    </x:row>
    <x:row r="12" ht="26" customHeight="1">
      <x:c r="A12" s="13" t="str">
        <x:v>当前实现与现行目标不要混用</x:v>
      </x:c>
      <x:c r="B12" s="13" t="str">
        <x:v>当前实现与现行目标不要混用</x:v>
      </x:c>
      <x:c r="C12" s="13" t="str">
        <x:v>当前实现与现行目标不要混用</x:v>
      </x:c>
      <x:c r="D12" s="13" t="str">
        <x:v>当前实现与现行目标不要混用</x:v>
      </x:c>
      <x:c r="E12" s="13" t="str">
        <x:v>当前实现与现行目标不要混用</x:v>
      </x:c>
      <x:c r="F12" s="13" t="str">
        <x:v>当前实现与现行目标不要混用</x:v>
      </x:c>
      <x:c r="G12" s="13" t="str">
        <x:v>当前实现与现行目标不要混用</x:v>
      </x:c>
      <x:c r="H12" s="13" t="str">
        <x:v>当前实现与现行目标不要混用</x:v>
      </x:c>
    </x:row>
    <x:row r="13" ht="30" customHeight="1">
      <x:c r="A13" s="16" t="str">
        <x:v>口径</x:v>
      </x:c>
      <x:c r="B13" s="16" t="str">
        <x:v>单局/时间</x:v>
      </x:c>
      <x:c r="C13" s="16" t="str">
        <x:v>普通门</x:v>
      </x:c>
      <x:c r="D13" s="16" t="str">
        <x:v>精英</x:v>
      </x:c>
      <x:c r="E13" s="16" t="str">
        <x:v>Boss</x:v>
      </x:c>
      <x:c r="F13" s="16" t="str">
        <x:v>来源</x:v>
      </x:c>
      <x:c r="G13" s="87"/>
      <x:c r="H13" s="87"/>
    </x:row>
    <x:row r="14" ht="32" customHeight="1">
      <x:c r="A14" s="19" t="str">
        <x:v>当前可运行竖切片</x:v>
      </x:c>
      <x:c r="B14" s="22" t="str">
        <x:v>Boss 在 135s 请求，完整体验约 3 分钟</x:v>
      </x:c>
      <x:c r="C14" s="22" t="n">
        <x:v>12</x:v>
      </x:c>
      <x:c r="D14" s="22" t="n">
        <x:v>1</x:v>
      </x:c>
      <x:c r="E14" s="22" t="n">
        <x:v>1</x:v>
      </x:c>
      <x:c r="F14" s="22" t="str">
        <x:v>balance_tables/时间轴.xlsx</x:v>
      </x:c>
      <x:c r="G14" s="87"/>
      <x:c r="H14" s="87"/>
    </x:row>
    <x:row r="15" ht="32" customHeight="1">
      <x:c r="A15" s="21" t="str">
        <x:v>现行 GDD 目标</x:v>
      </x:c>
      <x:c r="B15" s="24" t="str">
        <x:v>约 8 分钟</x:v>
      </x:c>
      <x:c r="C15" s="24" t="str">
        <x:v>约 50</x:v>
      </x:c>
      <x:c r="D15" s="24" t="n">
        <x:v>6</x:v>
      </x:c>
      <x:c r="E15" s="24" t="n">
        <x:v>2</x:v>
      </x:c>
      <x:c r="F15" s="24" t="str">
        <x:v>docs/gdd/index.md（不是当前实现值）</x:v>
      </x:c>
      <x:c r="G15" s="87"/>
      <x:c r="H15" s="87"/>
    </x:row>
    <x:row r="16">
      <x:c r="A16" s="87"/>
      <x:c r="B16" s="87"/>
      <x:c r="C16" s="87"/>
      <x:c r="D16" s="87"/>
      <x:c r="E16" s="87"/>
      <x:c r="F16" s="87"/>
      <x:c r="G16" s="87"/>
      <x:c r="H16" s="87"/>
    </x:row>
    <x:row r="17" ht="26" customHeight="1">
      <x:c r="A17" s="13" t="str">
        <x:v>工作表导航</x:v>
      </x:c>
      <x:c r="B17" s="13" t="str">
        <x:v>工作表导航</x:v>
      </x:c>
      <x:c r="C17" s="13" t="str">
        <x:v>工作表导航</x:v>
      </x:c>
      <x:c r="D17" s="13" t="str">
        <x:v>工作表导航</x:v>
      </x:c>
      <x:c r="E17" s="13" t="str">
        <x:v>工作表导航</x:v>
      </x:c>
      <x:c r="F17" s="13" t="str">
        <x:v>工作表导航</x:v>
      </x:c>
      <x:c r="G17" s="13" t="str">
        <x:v>工作表导航</x:v>
      </x:c>
      <x:c r="H17" s="13" t="str">
        <x:v>工作表导航</x:v>
      </x:c>
    </x:row>
    <x:row r="18" ht="30" customHeight="1">
      <x:c r="A18" s="16" t="str">
        <x:v>工作表</x:v>
      </x:c>
      <x:c r="B18" s="16" t="str">
        <x:v>内容</x:v>
      </x:c>
      <x:c r="C18" s="16" t="str">
        <x:v>主要事实源</x:v>
      </x:c>
      <x:c r="D18" s="16" t="str">
        <x:v>是否含公式预览</x:v>
      </x:c>
      <x:c r="E18" s="87"/>
      <x:c r="F18" s="87"/>
      <x:c r="G18" s="87"/>
      <x:c r="H18" s="87"/>
    </x:row>
    <x:row r="19">
      <x:c r="A19" s="19" t="str">
        <x:v>食材</x:v>
      </x:c>
      <x:c r="B19" s="22" t="str">
        <x:v>已接入食材的攻击基线与派生输出</x:v>
      </x:c>
      <x:c r="C19" s="22" t="str">
        <x:v>data/foods/*.tres</x:v>
      </x:c>
      <x:c r="D19" s="22" t="str">
        <x:v>是</x:v>
      </x:c>
      <x:c r="E19" s="87"/>
      <x:c r="F19" s="87"/>
      <x:c r="G19" s="87"/>
      <x:c r="H19" s="87"/>
    </x:row>
    <x:row r="20">
      <x:c r="A20" s="20" t="str">
        <x:v>食客</x:v>
      </x:c>
      <x:c r="B20" s="23" t="str">
        <x:v>普通、快速、远程、精英的胃口和移动参数</x:v>
      </x:c>
      <x:c r="C20" s="23" t="str">
        <x:v>data/customers/*.tres</x:v>
      </x:c>
      <x:c r="D20" s="23" t="str">
        <x:v>是</x:v>
      </x:c>
      <x:c r="E20" s="87"/>
      <x:c r="F20" s="87"/>
      <x:c r="G20" s="87"/>
      <x:c r="H20" s="87"/>
    </x:row>
    <x:row r="21">
      <x:c r="A21" s="20" t="str">
        <x:v>强化</x:v>
      </x:c>
      <x:c r="B21" s="23" t="str">
        <x:v>普通门与食客奖励门的 8 类区间、顺序和累计方式</x:v>
      </x:c>
      <x:c r="C21" s="23" t="str">
        <x:v>scripts/run.gd / run_state.gd</x:v>
      </x:c>
      <x:c r="D21" s="23" t="str">
        <x:v>是</x:v>
      </x:c>
      <x:c r="E21" s="87"/>
      <x:c r="F21" s="87"/>
      <x:c r="G21" s="87"/>
      <x:c r="H21" s="87"/>
    </x:row>
    <x:row r="22">
      <x:c r="A22" s="20" t="str">
        <x:v>稀有度</x:v>
      </x:c>
      <x:c r="B22" s="23" t="str">
        <x:v>四档百分位边界与显示色</x:v>
      </x:c>
      <x:c r="C22" s="23" t="str">
        <x:v>scripts/data/upgrade_data.gd</x:v>
      </x:c>
      <x:c r="D22" s="23" t="str">
        <x:v>否</x:v>
      </x:c>
      <x:c r="E22" s="87"/>
      <x:c r="F22" s="87"/>
      <x:c r="G22" s="87"/>
      <x:c r="H22" s="87"/>
    </x:row>
    <x:row r="23">
      <x:c r="A23" s="20" t="str">
        <x:v>时间轴</x:v>
      </x:c>
      <x:c r="B23" s="23" t="str">
        <x:v>独立小表的显式事件与基准胃口曲线预览</x:v>
      </x:c>
      <x:c r="C23" s="23" t="str">
        <x:v>balance_tables/时间轴.xlsx</x:v>
      </x:c>
      <x:c r="D23" s="23" t="str">
        <x:v>是，含曲线图</x:v>
      </x:c>
      <x:c r="E23" s="87"/>
      <x:c r="F23" s="87"/>
      <x:c r="G23" s="87"/>
      <x:c r="H23" s="87"/>
    </x:row>
    <x:row r="24">
      <x:c r="A24" s="20" t="str">
        <x:v>普通波次</x:v>
      </x:c>
      <x:c r="B24" s="23" t="str">
        <x:v>脚本生成的普通食客波次规则与推演</x:v>
      </x:c>
      <x:c r="C24" s="23" t="str">
        <x:v>scripts/run.gd</x:v>
      </x:c>
      <x:c r="D24" s="23" t="str">
        <x:v>是</x:v>
      </x:c>
      <x:c r="E24" s="87"/>
      <x:c r="F24" s="87"/>
      <x:c r="G24" s="87"/>
      <x:c r="H24" s="87"/>
    </x:row>
    <x:row r="25">
      <x:c r="A25" s="20" t="str">
        <x:v>Boss</x:v>
      </x:c>
      <x:c r="B25" s="23" t="str">
        <x:v>Boss 资源参数及脚本内行为阈值</x:v>
      </x:c>
      <x:c r="C25" s="23" t="str">
        <x:v>data/bosses / scripts/boss.gd</x:v>
      </x:c>
      <x:c r="D25" s="23" t="str">
        <x:v>否</x:v>
      </x:c>
      <x:c r="E25" s="87"/>
      <x:c r="F25" s="87"/>
      <x:c r="G25" s="87"/>
      <x:c r="H25" s="87"/>
    </x:row>
    <x:row r="26">
      <x:c r="A26" s="20" t="str">
        <x:v>战斗与场地</x:v>
      </x:c>
      <x:c r="B26" s="23" t="str">
        <x:v>耐久、速度、场地、门和弹道判定</x:v>
      </x:c>
      <x:c r="C26" s="23" t="str">
        <x:v>scripts/*.gd</x:v>
      </x:c>
      <x:c r="D26" s="23" t="str">
        <x:v>否</x:v>
      </x:c>
      <x:c r="E26" s="87"/>
      <x:c r="F26" s="87"/>
      <x:c r="G26" s="87"/>
      <x:c r="H26" s="87"/>
    </x:row>
    <x:row r="27">
      <x:c r="A27" s="20" t="str">
        <x:v>特殊强化</x:v>
      </x:c>
      <x:c r="B27" s="23" t="str">
        <x:v>当前精英三选一的实际候选</x:v>
      </x:c>
      <x:c r="C27" s="23" t="str">
        <x:v>scripts/run.gd</x:v>
      </x:c>
      <x:c r="D27" s="23" t="str">
        <x:v>否</x:v>
      </x:c>
      <x:c r="E27" s="87"/>
      <x:c r="F27" s="87"/>
      <x:c r="G27" s="87"/>
      <x:c r="H27" s="87"/>
    </x:row>
    <x:row r="28">
      <x:c r="A28" s="21" t="str">
        <x:v>公式规则</x:v>
      </x:c>
      <x:c r="B28" s="24" t="str">
        <x:v>胃口、伤害、门血量、强化和有效属性公式</x:v>
      </x:c>
      <x:c r="C28" s="24" t="str">
        <x:v>scripts / data resource classes</x:v>
      </x:c>
      <x:c r="D28" s="24" t="str">
        <x:v>含示例</x:v>
      </x:c>
      <x:c r="E28" s="87"/>
      <x:c r="F28" s="87"/>
      <x:c r="G28" s="87"/>
      <x:c r="H28" s="87"/>
    </x:row>
  </x:sheetData>
  <x:mergeCells>
    <x:mergeCell ref="A1:H1"/>
    <x:mergeCell ref="A2:H3"/>
    <x:mergeCell ref="A5:H5"/>
    <x:mergeCell ref="A12:H12"/>
    <x:mergeCell ref="A17:H17"/>
  </x:mergeCells>
  <x:pageMargins left="0.7" right="0.7" top="0.75" bottom="0.75" header="0.3" footer="0.3"/>
  <x:tableParts count="3">
    <x:tablePart xmlns:r="http://schemas.openxmlformats.org/officeDocument/2006/relationships" r:id="Ra9ae918466d2418d"/>
    <x:tablePart xmlns:r="http://schemas.openxmlformats.org/officeDocument/2006/relationships" r:id="Rfee8fefba55745e6"/>
    <x:tablePart xmlns:r="http://schemas.openxmlformats.org/officeDocument/2006/relationships" r:id="Rc2c6fd28c67347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7" hidden="0" customWidth="1"/>
    <x:col min="4" max="4" width="16" hidden="0" customWidth="1"/>
    <x:col min="5" max="5" width="14" hidden="0" customWidth="1"/>
    <x:col min="6" max="6" width="17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1" hidden="0" customWidth="1"/>
    <x:col min="12" max="12" width="14" hidden="0" customWidth="1"/>
    <x:col min="13" max="13" width="14" hidden="0" customWidth="1"/>
    <x:col min="14" max="14" width="16" hidden="0" customWidth="1"/>
    <x:col min="15" max="15" width="19" hidden="0" customWidth="1"/>
    <x:col min="16" max="16" width="34" hidden="0" customWidth="1"/>
  </x:cols>
  <x:sheetData>
    <x:row r="1" ht="40" customHeight="1">
      <x:c r="A1" s="3" t="str">
        <x:v>已接入食材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9" t="str">
        <x:v>当前场景实际加载 2 种食材。基础攻击/秒、基础满足/秒和理论直线行程为工作簿公式，便于调参时即时观察。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87"/>
      <x:c r="M4" s="87"/>
      <x:c r="N4" s="87"/>
      <x:c r="O4" s="87"/>
      <x:c r="P4" s="87"/>
    </x:row>
    <x:row r="5" ht="30" customHeight="1">
      <x:c r="A5" s="16" t="str">
        <x:v>ID</x:v>
      </x:c>
      <x:c r="B5" s="16" t="str">
        <x:v>名称</x:v>
      </x:c>
      <x:c r="C5" s="16" t="str">
        <x:v>攻击类型</x:v>
      </x:c>
      <x:c r="D5" s="16" t="str">
        <x:v>初始瞄准</x:v>
      </x:c>
      <x:c r="E5" s="16" t="str">
        <x:v>初始追踪</x:v>
      </x:c>
      <x:c r="F5" s="16" t="str">
        <x:v>追踪转向(rad/s)</x:v>
      </x:c>
      <x:c r="G5" s="16" t="str">
        <x:v>单次满足</x:v>
      </x:c>
      <x:c r="H5" s="16" t="str">
        <x:v>攻击间隔(s)</x:v>
      </x:c>
      <x:c r="I5" s="16" t="str">
        <x:v>弹速(px/s)</x:v>
      </x:c>
      <x:c r="J5" s="16" t="str">
        <x:v>半径(px)</x:v>
      </x:c>
      <x:c r="K5" s="16" t="str">
        <x:v>寿命(s)</x:v>
      </x:c>
      <x:c r="L5" s="16" t="str">
        <x:v>最大命中数</x:v>
      </x:c>
      <x:c r="M5" s="16" t="str">
        <x:v>基础攻击/秒</x:v>
      </x:c>
      <x:c r="N5" s="16" t="str">
        <x:v>基础满足/秒</x:v>
      </x:c>
      <x:c r="O5" s="16" t="str">
        <x:v>理论直线行程(px)</x:v>
      </x:c>
      <x:c r="P5" s="16" t="str">
        <x:v>来源</x:v>
      </x:c>
    </x:row>
    <x:row r="6">
      <x:c r="A6" s="19" t="str">
        <x:v>potato</x:v>
      </x:c>
      <x:c r="B6" s="19" t="str">
        <x:v>土豆</x:v>
      </x:c>
      <x:c r="C6" s="19" t="str">
        <x:v>投射物</x:v>
      </x:c>
      <x:c r="D6" s="19" t="str">
        <x:v>固定向前</x:v>
      </x:c>
      <x:c r="E6" s="19" t="str">
        <x:v>不追踪</x:v>
      </x:c>
      <x:c r="F6" s="27" t="n">
        <x:v>4.5</x:v>
      </x:c>
      <x:c r="G6" s="27" t="n">
        <x:v>10</x:v>
      </x:c>
      <x:c r="H6" s="27" t="n">
        <x:v>0.8</x:v>
      </x:c>
      <x:c r="I6" s="27" t="n">
        <x:v>760</x:v>
      </x:c>
      <x:c r="J6" s="27" t="n">
        <x:v>17</x:v>
      </x:c>
      <x:c r="K6" s="27" t="n">
        <x:v>1.6</x:v>
      </x:c>
      <x:c r="L6" s="29" t="n">
        <x:v>1</x:v>
      </x:c>
      <x:c r="M6" s="35" t="n">
        <x:f>1/H6</x:f>
        <x:v>1.25</x:v>
      </x:c>
      <x:c r="N6" s="35" t="n">
        <x:f>G6/H6</x:f>
        <x:v>12.5</x:v>
      </x:c>
      <x:c r="O6" s="35" t="n">
        <x:f>I6*K6</x:f>
        <x:v>1216</x:v>
      </x:c>
      <x:c r="P6" s="19" t="str">
        <x:v>data/foods/potato.tres</x:v>
      </x:c>
    </x:row>
    <x:row r="7">
      <x:c r="A7" s="21" t="str">
        <x:v>baguette</x:v>
      </x:c>
      <x:c r="B7" s="21" t="str">
        <x:v>法棍</x:v>
      </x:c>
      <x:c r="C7" s="21" t="str">
        <x:v>穿透投射物</x:v>
      </x:c>
      <x:c r="D7" s="21" t="str">
        <x:v>目标快照</x:v>
      </x:c>
      <x:c r="E7" s="21" t="str">
        <x:v>不追踪</x:v>
      </x:c>
      <x:c r="F7" s="28" t="n">
        <x:v>4.5</x:v>
      </x:c>
      <x:c r="G7" s="28" t="n">
        <x:v>8</x:v>
      </x:c>
      <x:c r="H7" s="28" t="n">
        <x:v>1.2</x:v>
      </x:c>
      <x:c r="I7" s="28" t="n">
        <x:v>680</x:v>
      </x:c>
      <x:c r="J7" s="28" t="n">
        <x:v>14</x:v>
      </x:c>
      <x:c r="K7" s="28" t="n">
        <x:v>1.8</x:v>
      </x:c>
      <x:c r="L7" s="30" t="n">
        <x:v>3</x:v>
      </x:c>
      <x:c r="M7" s="36" t="n">
        <x:f>1/H7</x:f>
        <x:v>0.8333333333333334</x:v>
      </x:c>
      <x:c r="N7" s="36" t="n">
        <x:f>G7/H7</x:f>
        <x:v>6.666666666666667</x:v>
      </x:c>
      <x:c r="O7" s="36" t="n">
        <x:f>I7*K7</x:f>
        <x:v>1224</x:v>
      </x:c>
      <x:c r="P7" s="21" t="str">
        <x:v>data/foods/baguette.tres</x:v>
      </x:c>
    </x:row>
  </x:sheetData>
  <x:mergeCells>
    <x:mergeCell ref="A1:P1"/>
    <x:mergeCell ref="A2:P3"/>
  </x:mergeCells>
  <x:pageMargins left="0.7" right="0.7" top="0.75" bottom="0.75" header="0.3" footer="0.3"/>
  <x:tableParts count="1">
    <x:tablePart xmlns:r="http://schemas.openxmlformats.org/officeDocument/2006/relationships" r:id="R2b457a0b430f4b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17" hidden="0" customWidth="1"/>
    <x:col min="6" max="6" width="13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8" hidden="0" customWidth="1"/>
  </x:cols>
  <x:sheetData>
    <x:row r="1" ht="40" customHeight="1">
      <x:c r="A1" s="3" t="str">
        <x:v>已接入食客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9" t="str">
        <x:v>普通食客胃口会再乘以随机奖励百分位 (1+p)；精英不使用随机百分位。起点/终点预览直接引用“时间轴”曲线参数。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87"/>
      <x:c r="M4" s="87"/>
    </x:row>
    <x:row r="5" ht="30" customHeight="1">
      <x:c r="A5" s="16" t="str">
        <x:v>ID</x:v>
      </x:c>
      <x:c r="B5" s="16" t="str">
        <x:v>名称</x:v>
      </x:c>
      <x:c r="C5" s="16" t="str">
        <x:v>类型</x:v>
      </x:c>
      <x:c r="D5" s="16" t="str">
        <x:v>胃口倍率</x:v>
      </x:c>
      <x:c r="E5" s="16" t="str">
        <x:v>自身移速(px/s)</x:v>
      </x:c>
      <x:c r="F5" s="16" t="str">
        <x:v>占据区域</x:v>
      </x:c>
      <x:c r="G5" s="16" t="str">
        <x:v>远程伤害比例</x:v>
      </x:c>
      <x:c r="H5" s="16" t="str">
        <x:v>攻击间隔(s)</x:v>
      </x:c>
      <x:c r="I5" s="16" t="str">
        <x:v>曲线起点胃口(p=0)</x:v>
      </x:c>
      <x:c r="J5" s="16" t="str">
        <x:v>曲线起点胃口(p=1)</x:v>
      </x:c>
      <x:c r="K5" s="16" t="str">
        <x:v>曲线终点胃口(p=0)</x:v>
      </x:c>
      <x:c r="L5" s="16" t="str">
        <x:v>曲线终点胃口(p=1)</x:v>
      </x:c>
      <x:c r="M5" s="16" t="str">
        <x:v>来源</x:v>
      </x:c>
    </x:row>
    <x:row r="6" ht="34" customHeight="1">
      <x:c r="A6" s="19" t="str">
        <x:v>basic_guest</x:v>
      </x:c>
      <x:c r="B6" s="19" t="str">
        <x:v>饿肚食客</x:v>
      </x:c>
      <x:c r="C6" s="19" t="str">
        <x:v>普通</x:v>
      </x:c>
      <x:c r="D6" s="38" t="n">
        <x:v>1</x:v>
      </x:c>
      <x:c r="E6" s="29" t="n">
        <x:v>42</x:v>
      </x:c>
      <x:c r="F6" s="29" t="n">
        <x:v>2</x:v>
      </x:c>
      <x:c r="G6" s="42" t="n">
        <x:v>0</x:v>
      </x:c>
      <x:c r="H6" s="38" t="n">
        <x:v>3</x:v>
      </x:c>
      <x:c r="I6" s="47" t="n">
        <x:f>ROUND('时间轴'!$B$7*D6,0)</x:f>
        <x:v>20</x:v>
      </x:c>
      <x:c r="J6" s="47" t="n">
        <x:f>ROUND('时间轴'!$B$7*D6*2,0)</x:f>
        <x:v>40</x:v>
      </x:c>
      <x:c r="K6" s="47" t="n">
        <x:f>ROUND('时间轴'!$B$8*D6,0)</x:f>
        <x:v>300</x:v>
      </x:c>
      <x:c r="L6" s="47" t="n">
        <x:f>ROUND('时间轴'!$B$8*D6*2,0)</x:f>
        <x:v>600</x:v>
      </x:c>
      <x:c r="M6" s="22" t="str">
        <x:v>data/customers/basic_guest.tres；攻击字段沿用 customer_data.gd 默认值</x:v>
      </x:c>
    </x:row>
    <x:row r="7" ht="34" customHeight="1">
      <x:c r="A7" s="20" t="str">
        <x:v>fast_guest</x:v>
      </x:c>
      <x:c r="B7" s="20" t="str">
        <x:v>急脚食客</x:v>
      </x:c>
      <x:c r="C7" s="20" t="str">
        <x:v>快速</x:v>
      </x:c>
      <x:c r="D7" s="39" t="n">
        <x:v>0.75</x:v>
      </x:c>
      <x:c r="E7" s="41" t="n">
        <x:v>96</x:v>
      </x:c>
      <x:c r="F7" s="41" t="n">
        <x:v>2</x:v>
      </x:c>
      <x:c r="G7" s="43" t="n">
        <x:v>0</x:v>
      </x:c>
      <x:c r="H7" s="39" t="n">
        <x:v>3</x:v>
      </x:c>
      <x:c r="I7" s="48" t="n">
        <x:f>ROUND('时间轴'!$B$7*D7,0)</x:f>
        <x:v>15</x:v>
      </x:c>
      <x:c r="J7" s="48" t="n">
        <x:f>ROUND('时间轴'!$B$7*D7*2,0)</x:f>
        <x:v>30</x:v>
      </x:c>
      <x:c r="K7" s="48" t="n">
        <x:f>ROUND('时间轴'!$B$8*D7,0)</x:f>
        <x:v>225</x:v>
      </x:c>
      <x:c r="L7" s="48" t="n">
        <x:f>ROUND('时间轴'!$B$8*D7*2,0)</x:f>
        <x:v>450</x:v>
      </x:c>
      <x:c r="M7" s="23" t="str">
        <x:v>data/customers/fast_guest.tres；攻击字段沿用 customer_data.gd 默认值</x:v>
      </x:c>
    </x:row>
    <x:row r="8" ht="34" customHeight="1">
      <x:c r="A8" s="20" t="str">
        <x:v>ranged_guest</x:v>
      </x:c>
      <x:c r="B8" s="20" t="str">
        <x:v>拍桌食客</x:v>
      </x:c>
      <x:c r="C8" s="20" t="str">
        <x:v>远程</x:v>
      </x:c>
      <x:c r="D8" s="39" t="n">
        <x:v>1.5</x:v>
      </x:c>
      <x:c r="E8" s="41" t="n">
        <x:v>28</x:v>
      </x:c>
      <x:c r="F8" s="41" t="n">
        <x:v>2</x:v>
      </x:c>
      <x:c r="G8" s="43" t="n">
        <x:v>0.08</x:v>
      </x:c>
      <x:c r="H8" s="39" t="n">
        <x:v>3.4</x:v>
      </x:c>
      <x:c r="I8" s="48" t="n">
        <x:f>ROUND('时间轴'!$B$7*D8,0)</x:f>
        <x:v>30</x:v>
      </x:c>
      <x:c r="J8" s="48" t="n">
        <x:f>ROUND('时间轴'!$B$7*D8*2,0)</x:f>
        <x:v>60</x:v>
      </x:c>
      <x:c r="K8" s="48" t="n">
        <x:f>ROUND('时间轴'!$B$8*D8,0)</x:f>
        <x:v>450</x:v>
      </x:c>
      <x:c r="L8" s="48" t="n">
        <x:f>ROUND('时间轴'!$B$8*D8*2,0)</x:f>
        <x:v>900</x:v>
      </x:c>
      <x:c r="M8" s="23" t="str">
        <x:v>data/customers/ranged_guest.tres</x:v>
      </x:c>
    </x:row>
    <x:row r="9" ht="34" customHeight="1">
      <x:c r="A9" s="21" t="str">
        <x:v>elite_guest</x:v>
      </x:c>
      <x:c r="B9" s="21" t="str">
        <x:v>六席贵客</x:v>
      </x:c>
      <x:c r="C9" s="21" t="str">
        <x:v>精英</x:v>
      </x:c>
      <x:c r="D9" s="40" t="n">
        <x:v>5.625</x:v>
      </x:c>
      <x:c r="E9" s="30" t="n">
        <x:v>18</x:v>
      </x:c>
      <x:c r="F9" s="30" t="n">
        <x:v>6</x:v>
      </x:c>
      <x:c r="G9" s="44" t="n">
        <x:v>0</x:v>
      </x:c>
      <x:c r="H9" s="40" t="n">
        <x:v>3</x:v>
      </x:c>
      <x:c r="I9" s="49" t="n">
        <x:f>ROUND('时间轴'!$B$7*D9,0)</x:f>
        <x:v>113</x:v>
      </x:c>
      <x:c r="J9" s="49" t="n">
        <x:f>ROUND('时间轴'!$B$7*D9,0)</x:f>
        <x:v>113</x:v>
      </x:c>
      <x:c r="K9" s="49" t="n">
        <x:f>ROUND('时间轴'!$B$8*D9,0)</x:f>
        <x:v>1688</x:v>
      </x:c>
      <x:c r="L9" s="49" t="n">
        <x:f>ROUND('时间轴'!$B$8*D9,0)</x:f>
        <x:v>1688</x:v>
      </x:c>
      <x:c r="M9" s="24" t="str">
        <x:v>data/customers/elite_guest.tres；攻击字段沿用 customer_data.gd 默认值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b591c45c0e848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" hidden="0" customWidth="1"/>
    <x:col min="3" max="3" width="18" hidden="0" customWidth="1"/>
    <x:col min="4" max="4" width="15" hidden="0" customWidth="1"/>
    <x:col min="5" max="5" width="18" hidden="0" customWidth="1"/>
    <x:col min="6" max="6" width="13" hidden="0" customWidth="1"/>
    <x:col min="7" max="7" width="13" hidden="0" customWidth="1"/>
    <x:col min="8" max="8" width="10" hidden="0" customWidth="1"/>
    <x:col min="9" max="9" width="30" hidden="0" customWidth="1"/>
    <x:col min="10" max="10" width="13" hidden="0" customWidth="1"/>
    <x:col min="11" max="11" width="13" hidden="0" customWidth="1"/>
    <x:col min="12" max="12" width="24" hidden="0" customWidth="1"/>
  </x:cols>
  <x:sheetData>
    <x:row r="1" ht="40" customHeight="1">
      <x:c r="A1" s="3" t="str">
        <x:v>普通强化与食客奖励门模板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87"/>
    </x:row>
    <x:row r="2" ht="24" customHeight="1">
      <x:c r="A2" s="9" t="str">
        <x:v>两套池当前使用相同的 8 类数值区间，但 ID、显示名和轮换序列分别写在脚本中。百分比强化逐次乘算，餐车速度/耐久固定加算，修理为一次性恢复。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87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87"/>
    </x:row>
    <x:row r="4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87"/>
    </x:row>
    <x:row r="5" ht="30" customHeight="1">
      <x:c r="A5" s="16" t="str">
        <x:v>池</x:v>
      </x:c>
      <x:c r="B5" s="16" t="str">
        <x:v>序号</x:v>
      </x:c>
      <x:c r="C5" s="16" t="str">
        <x:v>ID</x:v>
      </x:c>
      <x:c r="D5" s="16" t="str">
        <x:v>显示名</x:v>
      </x:c>
      <x:c r="E5" s="16" t="str">
        <x:v>类型</x:v>
      </x:c>
      <x:c r="F5" s="16" t="str">
        <x:v>最小值</x:v>
      </x:c>
      <x:c r="G5" s="16" t="str">
        <x:v>最大值</x:v>
      </x:c>
      <x:c r="H5" s="16" t="str">
        <x:v>单位</x:v>
      </x:c>
      <x:c r="I5" s="16" t="str">
        <x:v>实际作用</x:v>
      </x:c>
      <x:c r="J5" s="16" t="str">
        <x:v>累计方式</x:v>
      </x:c>
      <x:c r="K5" s="16" t="str">
        <x:v>区间中点</x:v>
      </x:c>
      <x:c r="L5" s="16" t="str">
        <x:v>来源</x:v>
      </x:c>
    </x:row>
    <x:row r="6" ht="30" customHeight="1">
      <x:c r="A6" s="19" t="str">
        <x:v>普通双选门</x:v>
      </x:c>
      <x:c r="B6" s="19" t="n">
        <x:v>1</x:v>
      </x:c>
      <x:c r="C6" s="19" t="str">
        <x:v>sugar</x:v>
      </x:c>
      <x:c r="D6" s="19" t="str">
        <x:v>糖</x:v>
      </x:c>
      <x:c r="E6" s="19" t="str">
        <x:v>SUGAR</x:v>
      </x:c>
      <x:c r="F6" s="42" t="n">
        <x:v>0.05</x:v>
      </x:c>
      <x:c r="G6" s="42" t="n">
        <x:v>0.45</x:v>
      </x:c>
      <x:c r="H6" s="19" t="str">
        <x:v>%</x:v>
      </x:c>
      <x:c r="I6" s="22" t="str">
        <x:v>满足倍率 × (1+值)</x:v>
      </x:c>
      <x:c r="J6" s="19" t="str">
        <x:v>乘算</x:v>
      </x:c>
      <x:c r="K6" s="53" t="n">
        <x:f>(F6+G6)/2</x:f>
        <x:v>0.25</x:v>
      </x:c>
      <x:c r="L6" s="19" t="str">
        <x:v>scripts/run.gd:679</x:v>
      </x:c>
    </x:row>
    <x:row r="7" ht="30" customHeight="1">
      <x:c r="A7" s="20" t="str">
        <x:v>普通双选门</x:v>
      </x:c>
      <x:c r="B7" s="20" t="n">
        <x:v>2</x:v>
      </x:c>
      <x:c r="C7" s="20" t="str">
        <x:v>quick_prep</x:v>
      </x:c>
      <x:c r="D7" s="20" t="str">
        <x:v>快速备餐</x:v>
      </x:c>
      <x:c r="E7" s="20" t="str">
        <x:v>QUICK_PREP</x:v>
      </x:c>
      <x:c r="F7" s="43" t="n">
        <x:v>0.02</x:v>
      </x:c>
      <x:c r="G7" s="43" t="n">
        <x:v>0.2</x:v>
      </x:c>
      <x:c r="H7" s="20" t="str">
        <x:v>%</x:v>
      </x:c>
      <x:c r="I7" s="23" t="str">
        <x:v>间隔倍率 × (1-值)</x:v>
      </x:c>
      <x:c r="J7" s="20" t="str">
        <x:v>乘算</x:v>
      </x:c>
      <x:c r="K7" s="54" t="n">
        <x:f>(F7+G7)/2</x:f>
        <x:v>0.11</x:v>
      </x:c>
      <x:c r="L7" s="20" t="str">
        <x:v>scripts/run.gd:680</x:v>
      </x:c>
    </x:row>
    <x:row r="8" ht="30" customHeight="1">
      <x:c r="A8" s="20" t="str">
        <x:v>普通双选门</x:v>
      </x:c>
      <x:c r="B8" s="20" t="n">
        <x:v>3</x:v>
      </x:c>
      <x:c r="C8" s="20" t="str">
        <x:v>light_cart</x:v>
      </x:c>
      <x:c r="D8" s="20" t="str">
        <x:v>轻便餐车</x:v>
      </x:c>
      <x:c r="E8" s="20" t="str">
        <x:v>LIGHT_CART</x:v>
      </x:c>
      <x:c r="F8" s="55" t="n">
        <x:v>50</x:v>
      </x:c>
      <x:c r="G8" s="55" t="n">
        <x:v>300</x:v>
      </x:c>
      <x:c r="H8" s="20" t="str">
        <x:v>速度</x:v>
      </x:c>
      <x:c r="I8" s="23" t="str">
        <x:v>餐车横移速度 + 值</x:v>
      </x:c>
      <x:c r="J8" s="20" t="str">
        <x:v>加算</x:v>
      </x:c>
      <x:c r="K8" s="56" t="n">
        <x:f>(F8+G8)/2</x:f>
        <x:v>175</x:v>
      </x:c>
      <x:c r="L8" s="20" t="str">
        <x:v>scripts/run.gd:681</x:v>
      </x:c>
    </x:row>
    <x:row r="9" ht="30" customHeight="1">
      <x:c r="A9" s="20" t="str">
        <x:v>普通双选门</x:v>
      </x:c>
      <x:c r="B9" s="20" t="n">
        <x:v>4</x:v>
      </x:c>
      <x:c r="C9" s="20" t="str">
        <x:v>sturdy_cart</x:v>
      </x:c>
      <x:c r="D9" s="20" t="str">
        <x:v>坚固餐车</x:v>
      </x:c>
      <x:c r="E9" s="20" t="str">
        <x:v>STURDY_CART</x:v>
      </x:c>
      <x:c r="F9" s="55" t="n">
        <x:v>5</x:v>
      </x:c>
      <x:c r="G9" s="55" t="n">
        <x:v>32</x:v>
      </x:c>
      <x:c r="H9" s="20" t="str">
        <x:v>点</x:v>
      </x:c>
      <x:c r="I9" s="23" t="str">
        <x:v>最大/当前耐久 + 值</x:v>
      </x:c>
      <x:c r="J9" s="20" t="str">
        <x:v>加算</x:v>
      </x:c>
      <x:c r="K9" s="56" t="n">
        <x:f>(F9+G9)/2</x:f>
        <x:v>18.5</x:v>
      </x:c>
      <x:c r="L9" s="20" t="str">
        <x:v>scripts/run.gd:682</x:v>
      </x:c>
    </x:row>
    <x:row r="10" ht="30" customHeight="1">
      <x:c r="A10" s="20" t="str">
        <x:v>普通双选门</x:v>
      </x:c>
      <x:c r="B10" s="20" t="n">
        <x:v>5</x:v>
      </x:c>
      <x:c r="C10" s="20" t="str">
        <x:v>repair</x:v>
      </x:c>
      <x:c r="D10" s="20" t="str">
        <x:v>现场修理</x:v>
      </x:c>
      <x:c r="E10" s="20" t="str">
        <x:v>REPAIR</x:v>
      </x:c>
      <x:c r="F10" s="43" t="n">
        <x:v>0.05</x:v>
      </x:c>
      <x:c r="G10" s="43" t="n">
        <x:v>0.4</x:v>
      </x:c>
      <x:c r="H10" s="20" t="str">
        <x:v>%</x:v>
      </x:c>
      <x:c r="I10" s="23" t="str">
        <x:v>当前耐久恢复 最大耐久×值</x:v>
      </x:c>
      <x:c r="J10" s="20" t="str">
        <x:v>一次性</x:v>
      </x:c>
      <x:c r="K10" s="54" t="n">
        <x:f>(F10+G10)/2</x:f>
        <x:v>0.225</x:v>
      </x:c>
      <x:c r="L10" s="20" t="str">
        <x:v>scripts/run.gd:683</x:v>
      </x:c>
    </x:row>
    <x:row r="11" ht="30" customHeight="1">
      <x:c r="A11" s="20" t="str">
        <x:v>普通双选门</x:v>
      </x:c>
      <x:c r="B11" s="20" t="n">
        <x:v>6</x:v>
      </x:c>
      <x:c r="C11" s="20" t="str">
        <x:v>wine</x:v>
      </x:c>
      <x:c r="D11" s="20" t="str">
        <x:v>酒</x:v>
      </x:c>
      <x:c r="E11" s="20" t="str">
        <x:v>WINE</x:v>
      </x:c>
      <x:c r="F11" s="43" t="n">
        <x:v>0.1</x:v>
      </x:c>
      <x:c r="G11" s="43" t="n">
        <x:v>0.5</x:v>
      </x:c>
      <x:c r="H11" s="20" t="str">
        <x:v>%</x:v>
      </x:c>
      <x:c r="I11" s="23" t="str">
        <x:v>弹速倍率 × (1+值)</x:v>
      </x:c>
      <x:c r="J11" s="20" t="str">
        <x:v>乘算</x:v>
      </x:c>
      <x:c r="K11" s="54" t="n">
        <x:f>(F11+G11)/2</x:f>
        <x:v>0.3</x:v>
      </x:c>
      <x:c r="L11" s="20" t="str">
        <x:v>scripts/run.gd:684</x:v>
      </x:c>
    </x:row>
    <x:row r="12" ht="30" customHeight="1">
      <x:c r="A12" s="20" t="str">
        <x:v>普通双选门</x:v>
      </x:c>
      <x:c r="B12" s="20" t="n">
        <x:v>7</x:v>
      </x:c>
      <x:c r="C12" s="20" t="str">
        <x:v>scallion</x:v>
      </x:c>
      <x:c r="D12" s="20" t="str">
        <x:v>葱</x:v>
      </x:c>
      <x:c r="E12" s="20" t="str">
        <x:v>SCALLION</x:v>
      </x:c>
      <x:c r="F12" s="43" t="n">
        <x:v>0.1</x:v>
      </x:c>
      <x:c r="G12" s="43" t="n">
        <x:v>0.6</x:v>
      </x:c>
      <x:c r="H12" s="20" t="str">
        <x:v>%</x:v>
      </x:c>
      <x:c r="I12" s="23" t="str">
        <x:v>范围倍率 × (1+值)</x:v>
      </x:c>
      <x:c r="J12" s="20" t="str">
        <x:v>乘算</x:v>
      </x:c>
      <x:c r="K12" s="54" t="n">
        <x:f>(F12+G12)/2</x:f>
        <x:v>0.35</x:v>
      </x:c>
      <x:c r="L12" s="20" t="str">
        <x:v>scripts/run.gd:685</x:v>
      </x:c>
    </x:row>
    <x:row r="13" ht="30" customHeight="1">
      <x:c r="A13" s="20" t="str">
        <x:v>普通双选门</x:v>
      </x:c>
      <x:c r="B13" s="20" t="n">
        <x:v>8</x:v>
      </x:c>
      <x:c r="C13" s="20" t="str">
        <x:v>starch</x:v>
      </x:c>
      <x:c r="D13" s="20" t="str">
        <x:v>淀粉</x:v>
      </x:c>
      <x:c r="E13" s="20" t="str">
        <x:v>STARCH</x:v>
      </x:c>
      <x:c r="F13" s="43" t="n">
        <x:v>0.15</x:v>
      </x:c>
      <x:c r="G13" s="43" t="n">
        <x:v>0.75</x:v>
      </x:c>
      <x:c r="H13" s="20" t="str">
        <x:v>%</x:v>
      </x:c>
      <x:c r="I13" s="23" t="str">
        <x:v>持续倍率 × (1+值)</x:v>
      </x:c>
      <x:c r="J13" s="20" t="str">
        <x:v>乘算</x:v>
      </x:c>
      <x:c r="K13" s="54" t="n">
        <x:f>(F13+G13)/2</x:f>
        <x:v>0.45</x:v>
      </x:c>
      <x:c r="L13" s="20" t="str">
        <x:v>scripts/run.gd:686</x:v>
      </x:c>
    </x:row>
    <x:row r="14" ht="30" customHeight="1">
      <x:c r="A14" s="20" t="str">
        <x:v>食客奖励门</x:v>
      </x:c>
      <x:c r="B14" s="20" t="n">
        <x:v>1</x:v>
      </x:c>
      <x:c r="C14" s="20" t="str">
        <x:v>drop_sugar</x:v>
      </x:c>
      <x:c r="D14" s="20" t="str">
        <x:v>糖</x:v>
      </x:c>
      <x:c r="E14" s="20" t="str">
        <x:v>SUGAR</x:v>
      </x:c>
      <x:c r="F14" s="43" t="n">
        <x:v>0.05</x:v>
      </x:c>
      <x:c r="G14" s="43" t="n">
        <x:v>0.45</x:v>
      </x:c>
      <x:c r="H14" s="20" t="str">
        <x:v>%</x:v>
      </x:c>
      <x:c r="I14" s="23" t="str">
        <x:v>满足倍率 × (1+值)</x:v>
      </x:c>
      <x:c r="J14" s="20" t="str">
        <x:v>乘算</x:v>
      </x:c>
      <x:c r="K14" s="54" t="n">
        <x:f>(F14+G14)/2</x:f>
        <x:v>0.25</x:v>
      </x:c>
      <x:c r="L14" s="20" t="str">
        <x:v>scripts/run.gd:692</x:v>
      </x:c>
    </x:row>
    <x:row r="15" ht="30" customHeight="1">
      <x:c r="A15" s="20" t="str">
        <x:v>食客奖励门</x:v>
      </x:c>
      <x:c r="B15" s="20" t="n">
        <x:v>2</x:v>
      </x:c>
      <x:c r="C15" s="20" t="str">
        <x:v>drop_quick</x:v>
      </x:c>
      <x:c r="D15" s="20" t="str">
        <x:v>备餐</x:v>
      </x:c>
      <x:c r="E15" s="20" t="str">
        <x:v>QUICK_PREP</x:v>
      </x:c>
      <x:c r="F15" s="43" t="n">
        <x:v>0.02</x:v>
      </x:c>
      <x:c r="G15" s="43" t="n">
        <x:v>0.2</x:v>
      </x:c>
      <x:c r="H15" s="20" t="str">
        <x:v>%</x:v>
      </x:c>
      <x:c r="I15" s="23" t="str">
        <x:v>间隔倍率 × (1-值)</x:v>
      </x:c>
      <x:c r="J15" s="20" t="str">
        <x:v>乘算</x:v>
      </x:c>
      <x:c r="K15" s="54" t="n">
        <x:f>(F15+G15)/2</x:f>
        <x:v>0.11</x:v>
      </x:c>
      <x:c r="L15" s="20" t="str">
        <x:v>scripts/run.gd:693</x:v>
      </x:c>
    </x:row>
    <x:row r="16" ht="30" customHeight="1">
      <x:c r="A16" s="20" t="str">
        <x:v>食客奖励门</x:v>
      </x:c>
      <x:c r="B16" s="20" t="n">
        <x:v>3</x:v>
      </x:c>
      <x:c r="C16" s="20" t="str">
        <x:v>drop_wine</x:v>
      </x:c>
      <x:c r="D16" s="20" t="str">
        <x:v>酒</x:v>
      </x:c>
      <x:c r="E16" s="20" t="str">
        <x:v>WINE</x:v>
      </x:c>
      <x:c r="F16" s="43" t="n">
        <x:v>0.1</x:v>
      </x:c>
      <x:c r="G16" s="43" t="n">
        <x:v>0.5</x:v>
      </x:c>
      <x:c r="H16" s="20" t="str">
        <x:v>%</x:v>
      </x:c>
      <x:c r="I16" s="23" t="str">
        <x:v>弹速倍率 × (1+值)</x:v>
      </x:c>
      <x:c r="J16" s="20" t="str">
        <x:v>乘算</x:v>
      </x:c>
      <x:c r="K16" s="54" t="n">
        <x:f>(F16+G16)/2</x:f>
        <x:v>0.3</x:v>
      </x:c>
      <x:c r="L16" s="20" t="str">
        <x:v>scripts/run.gd:694</x:v>
      </x:c>
    </x:row>
    <x:row r="17" ht="30" customHeight="1">
      <x:c r="A17" s="20" t="str">
        <x:v>食客奖励门</x:v>
      </x:c>
      <x:c r="B17" s="20" t="n">
        <x:v>4</x:v>
      </x:c>
      <x:c r="C17" s="20" t="str">
        <x:v>drop_scallion</x:v>
      </x:c>
      <x:c r="D17" s="20" t="str">
        <x:v>葱</x:v>
      </x:c>
      <x:c r="E17" s="20" t="str">
        <x:v>SCALLION</x:v>
      </x:c>
      <x:c r="F17" s="43" t="n">
        <x:v>0.1</x:v>
      </x:c>
      <x:c r="G17" s="43" t="n">
        <x:v>0.6</x:v>
      </x:c>
      <x:c r="H17" s="20" t="str">
        <x:v>%</x:v>
      </x:c>
      <x:c r="I17" s="23" t="str">
        <x:v>范围倍率 × (1+值)</x:v>
      </x:c>
      <x:c r="J17" s="20" t="str">
        <x:v>乘算</x:v>
      </x:c>
      <x:c r="K17" s="54" t="n">
        <x:f>(F17+G17)/2</x:f>
        <x:v>0.35</x:v>
      </x:c>
      <x:c r="L17" s="20" t="str">
        <x:v>scripts/run.gd:695</x:v>
      </x:c>
    </x:row>
    <x:row r="18" ht="30" customHeight="1">
      <x:c r="A18" s="20" t="str">
        <x:v>食客奖励门</x:v>
      </x:c>
      <x:c r="B18" s="20" t="n">
        <x:v>5</x:v>
      </x:c>
      <x:c r="C18" s="20" t="str">
        <x:v>drop_starch</x:v>
      </x:c>
      <x:c r="D18" s="20" t="str">
        <x:v>淀粉</x:v>
      </x:c>
      <x:c r="E18" s="20" t="str">
        <x:v>STARCH</x:v>
      </x:c>
      <x:c r="F18" s="43" t="n">
        <x:v>0.15</x:v>
      </x:c>
      <x:c r="G18" s="43" t="n">
        <x:v>0.75</x:v>
      </x:c>
      <x:c r="H18" s="20" t="str">
        <x:v>%</x:v>
      </x:c>
      <x:c r="I18" s="23" t="str">
        <x:v>持续倍率 × (1+值)</x:v>
      </x:c>
      <x:c r="J18" s="20" t="str">
        <x:v>乘算</x:v>
      </x:c>
      <x:c r="K18" s="54" t="n">
        <x:f>(F18+G18)/2</x:f>
        <x:v>0.45</x:v>
      </x:c>
      <x:c r="L18" s="20" t="str">
        <x:v>scripts/run.gd:696</x:v>
      </x:c>
    </x:row>
    <x:row r="19" ht="30" customHeight="1">
      <x:c r="A19" s="20" t="str">
        <x:v>食客奖励门</x:v>
      </x:c>
      <x:c r="B19" s="20" t="n">
        <x:v>6</x:v>
      </x:c>
      <x:c r="C19" s="20" t="str">
        <x:v>drop_light</x:v>
      </x:c>
      <x:c r="D19" s="20" t="str">
        <x:v>轻车</x:v>
      </x:c>
      <x:c r="E19" s="20" t="str">
        <x:v>LIGHT_CART</x:v>
      </x:c>
      <x:c r="F19" s="55" t="n">
        <x:v>50</x:v>
      </x:c>
      <x:c r="G19" s="55" t="n">
        <x:v>300</x:v>
      </x:c>
      <x:c r="H19" s="20" t="str">
        <x:v>速度</x:v>
      </x:c>
      <x:c r="I19" s="23" t="str">
        <x:v>餐车横移速度 + 值</x:v>
      </x:c>
      <x:c r="J19" s="20" t="str">
        <x:v>加算</x:v>
      </x:c>
      <x:c r="K19" s="56" t="n">
        <x:f>(F19+G19)/2</x:f>
        <x:v>175</x:v>
      </x:c>
      <x:c r="L19" s="20" t="str">
        <x:v>scripts/run.gd:697</x:v>
      </x:c>
    </x:row>
    <x:row r="20" ht="30" customHeight="1">
      <x:c r="A20" s="20" t="str">
        <x:v>食客奖励门</x:v>
      </x:c>
      <x:c r="B20" s="20" t="n">
        <x:v>7</x:v>
      </x:c>
      <x:c r="C20" s="20" t="str">
        <x:v>drop_sturdy</x:v>
      </x:c>
      <x:c r="D20" s="20" t="str">
        <x:v>坚固</x:v>
      </x:c>
      <x:c r="E20" s="20" t="str">
        <x:v>STURDY_CART</x:v>
      </x:c>
      <x:c r="F20" s="55" t="n">
        <x:v>5</x:v>
      </x:c>
      <x:c r="G20" s="55" t="n">
        <x:v>32</x:v>
      </x:c>
      <x:c r="H20" s="20" t="str">
        <x:v>点</x:v>
      </x:c>
      <x:c r="I20" s="23" t="str">
        <x:v>最大/当前耐久 + 值</x:v>
      </x:c>
      <x:c r="J20" s="20" t="str">
        <x:v>加算</x:v>
      </x:c>
      <x:c r="K20" s="56" t="n">
        <x:f>(F20+G20)/2</x:f>
        <x:v>18.5</x:v>
      </x:c>
      <x:c r="L20" s="20" t="str">
        <x:v>scripts/run.gd:698</x:v>
      </x:c>
    </x:row>
    <x:row r="21" ht="30" customHeight="1">
      <x:c r="A21" s="21" t="str">
        <x:v>食客奖励门</x:v>
      </x:c>
      <x:c r="B21" s="21" t="n">
        <x:v>8</x:v>
      </x:c>
      <x:c r="C21" s="21" t="str">
        <x:v>drop_repair</x:v>
      </x:c>
      <x:c r="D21" s="21" t="str">
        <x:v>修理</x:v>
      </x:c>
      <x:c r="E21" s="21" t="str">
        <x:v>REPAIR</x:v>
      </x:c>
      <x:c r="F21" s="44" t="n">
        <x:v>0.05</x:v>
      </x:c>
      <x:c r="G21" s="44" t="n">
        <x:v>0.4</x:v>
      </x:c>
      <x:c r="H21" s="21" t="str">
        <x:v>%</x:v>
      </x:c>
      <x:c r="I21" s="24" t="str">
        <x:v>当前耐久恢复 最大耐久×值</x:v>
      </x:c>
      <x:c r="J21" s="21" t="str">
        <x:v>一次性</x:v>
      </x:c>
      <x:c r="K21" s="57" t="n">
        <x:f>(F21+G21)/2</x:f>
        <x:v>0.225</x:v>
      </x:c>
      <x:c r="L21" s="21" t="str">
        <x:v>scripts/run.gd:699</x:v>
      </x:c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ef381823b02644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3" hidden="0" customWidth="1"/>
    <x:col min="4" max="4" width="13" hidden="0" customWidth="1"/>
    <x:col min="5" max="5" width="15" hidden="0" customWidth="1"/>
    <x:col min="6" max="6" width="24" hidden="0" customWidth="1"/>
    <x:col min="7" max="7" width="34" hidden="0" customWidth="1"/>
  </x:cols>
  <x:sheetData>
    <x:row r="1" ht="40" customHeight="1">
      <x:c r="A1" s="3" t="str">
        <x:v>普通强化稀有度分档</x:v>
      </x:c>
      <x:c r="B1" s="3"/>
      <x:c r="C1" s="3"/>
      <x:c r="D1" s="3"/>
      <x:c r="E1" s="3"/>
      <x:c r="F1" s="3"/>
      <x:c r="G1" s="3"/>
    </x:row>
    <x:row r="2" ht="24" customHeight="1">
      <x:c r="A2" s="9" t="str">
        <x:v>稀有度与实际数值共用同一个百分位 p；区间为左闭右开，最后一档包含 100%。颜色为当前运行时显示色。</x:v>
      </x:c>
      <x:c r="B2" s="9"/>
      <x:c r="C2" s="9"/>
      <x:c r="D2" s="9"/>
      <x:c r="E2" s="9"/>
      <x:c r="F2" s="9"/>
      <x:c r="G2" s="9"/>
    </x:row>
    <x:row r="3" ht="24" customHeight="1">
      <x:c r="A3" s="10"/>
      <x:c r="B3" s="10"/>
      <x:c r="C3" s="10"/>
      <x:c r="D3" s="10"/>
      <x:c r="E3" s="10"/>
      <x:c r="F3" s="10"/>
      <x:c r="G3" s="10"/>
    </x:row>
    <x:row r="4">
      <x:c r="A4" s="87"/>
      <x:c r="B4" s="87"/>
      <x:c r="C4" s="87"/>
      <x:c r="D4" s="87"/>
      <x:c r="E4" s="87"/>
      <x:c r="F4" s="87"/>
      <x:c r="G4" s="87"/>
    </x:row>
    <x:row r="5" ht="30" customHeight="1">
      <x:c r="A5" s="16" t="str">
        <x:v>档位</x:v>
      </x:c>
      <x:c r="B5" s="16" t="str">
        <x:v>名称</x:v>
      </x:c>
      <x:c r="C5" s="16" t="str">
        <x:v>p 下限</x:v>
      </x:c>
      <x:c r="D5" s="16" t="str">
        <x:v>p 上限</x:v>
      </x:c>
      <x:c r="E5" s="16" t="str">
        <x:v>颜色</x:v>
      </x:c>
      <x:c r="F5" s="16" t="str">
        <x:v>判定</x:v>
      </x:c>
      <x:c r="G5" s="16" t="str">
        <x:v>来源</x:v>
      </x:c>
    </x:row>
    <x:row r="6">
      <x:c r="A6" s="19" t="n">
        <x:v>1</x:v>
      </x:c>
      <x:c r="B6" s="19" t="str">
        <x:v>寻常</x:v>
      </x:c>
      <x:c r="C6" s="58" t="n">
        <x:v>0</x:v>
      </x:c>
      <x:c r="D6" s="58" t="n">
        <x:v>0.25</x:v>
      </x:c>
      <x:c r="E6" s="62" t="str">
        <x:v>#D7C59A</x:v>
      </x:c>
      <x:c r="F6" s="19" t="str">
        <x:v>0 ≤ p &lt; 0.25</x:v>
      </x:c>
      <x:c r="G6" s="19" t="str">
        <x:v>scripts/data/upgrade_data.gd:82-84</x:v>
      </x:c>
    </x:row>
    <x:row r="7">
      <x:c r="A7" s="20" t="n">
        <x:v>2</x:v>
      </x:c>
      <x:c r="B7" s="20" t="str">
        <x:v>精良</x:v>
      </x:c>
      <x:c r="C7" s="59" t="n">
        <x:v>0.25</x:v>
      </x:c>
      <x:c r="D7" s="59" t="n">
        <x:v>0.5</x:v>
      </x:c>
      <x:c r="E7" s="64" t="str">
        <x:v>#73B8A6</x:v>
      </x:c>
      <x:c r="F7" s="20" t="str">
        <x:v>0.25 ≤ p &lt; 0.50</x:v>
      </x:c>
      <x:c r="G7" s="20" t="str">
        <x:v>scripts/data/upgrade_data.gd:85-87</x:v>
      </x:c>
    </x:row>
    <x:row r="8">
      <x:c r="A8" s="20" t="n">
        <x:v>3</x:v>
      </x:c>
      <x:c r="B8" s="20" t="str">
        <x:v>稀罕</x:v>
      </x:c>
      <x:c r="C8" s="59" t="n">
        <x:v>0.5</x:v>
      </x:c>
      <x:c r="D8" s="59" t="n">
        <x:v>0.75</x:v>
      </x:c>
      <x:c r="E8" s="66" t="str">
        <x:v>#C88AD4</x:v>
      </x:c>
      <x:c r="F8" s="20" t="str">
        <x:v>0.50 ≤ p &lt; 0.75</x:v>
      </x:c>
      <x:c r="G8" s="20" t="str">
        <x:v>scripts/data/upgrade_data.gd:88-90</x:v>
      </x:c>
    </x:row>
    <x:row r="9">
      <x:c r="A9" s="21" t="n">
        <x:v>4</x:v>
      </x:c>
      <x:c r="B9" s="21" t="str">
        <x:v>珍奇</x:v>
      </x:c>
      <x:c r="C9" s="60" t="n">
        <x:v>0.75</x:v>
      </x:c>
      <x:c r="D9" s="60" t="n">
        <x:v>1</x:v>
      </x:c>
      <x:c r="E9" s="68" t="str">
        <x:v>#F0C45F</x:v>
      </x:c>
      <x:c r="F9" s="21" t="str">
        <x:v>0.75 ≤ p ≤ 1.00</x:v>
      </x:c>
      <x:c r="G9" s="21" t="str">
        <x:v>scripts/data/upgrade_data.gd:91-93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786c89a7a06d40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18" hidden="0" customWidth="1"/>
    <x:col min="4" max="4" width="18" hidden="0" customWidth="1"/>
    <x:col min="5" max="5" width="15" hidden="0" customWidth="1"/>
    <x:col min="6" max="6" width="42" hidden="0" customWidth="1"/>
    <x:col min="8" max="8" width="12" hidden="0" customWidth="1"/>
    <x:col min="9" max="9" width="14" hidden="0" customWidth="1"/>
  </x:cols>
  <x:sheetData>
    <x:row r="1" ht="40" customHeight="1">
      <x:c r="A1" s="3" t="str">
        <x:v>竖切片显式时间轴与胃口曲线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9" t="str">
        <x:v>本页是综合预览，游戏实际读取同目录的“时间轴.xlsx”。事件时间是请求出现时刻；若生成安全距离不足，请求会顺延。右侧曲线不含食客倍率与随机奖励百分位。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87"/>
      <x:c r="M4" s="87"/>
      <x:c r="N4" s="87"/>
      <x:c r="O4" s="87"/>
      <x:c r="P4" s="87"/>
      <x:c r="Q4" s="87"/>
    </x:row>
    <x:row r="5" ht="26" customHeight="1">
      <x:c r="A5" s="13" t="str">
        <x:v>基准胃口曲线参数</x:v>
      </x:c>
      <x:c r="B5" s="13" t="str">
        <x:v>基准胃口曲线参数</x:v>
      </x:c>
      <x:c r="C5" s="13" t="str">
        <x:v>基准胃口曲线参数</x:v>
      </x:c>
      <x:c r="D5" s="13" t="str">
        <x:v>基准胃口曲线参数</x:v>
      </x:c>
      <x:c r="E5" s="13" t="str">
        <x:v>基准胃口曲线参数</x:v>
      </x:c>
      <x:c r="F5" s="13" t="str">
        <x:v>基准胃口曲线参数</x:v>
      </x:c>
      <x:c r="G5" s="87"/>
      <x:c r="H5" s="87"/>
      <x:c r="I5" s="87"/>
      <x:c r="J5" s="87"/>
      <x:c r="K5" s="87"/>
      <x:c r="L5" s="87"/>
      <x:c r="M5" s="87"/>
      <x:c r="N5" s="87"/>
      <x:c r="O5" s="87"/>
      <x:c r="P5" s="87"/>
      <x:c r="Q5" s="87"/>
    </x:row>
    <x:row r="6" ht="30" customHeight="1">
      <x:c r="A6" s="16" t="str">
        <x:v>参数</x:v>
      </x:c>
      <x:c r="B6" s="16" t="str">
        <x:v>当前值</x:v>
      </x:c>
      <x:c r="C6" s="16" t="str">
        <x:v>单位</x:v>
      </x:c>
      <x:c r="D6" s="16" t="str">
        <x:v>来源</x:v>
      </x:c>
      <x:c r="E6" s="87"/>
      <x:c r="F6" s="87"/>
      <x:c r="G6" s="87"/>
      <x:c r="H6" s="88" t="str">
        <x:v>时间(s)</x:v>
      </x:c>
      <x:c r="I6" s="88" t="str">
        <x:v>基准胃口</x:v>
      </x:c>
      <x:c r="J6" s="87"/>
      <x:c r="K6" s="87"/>
      <x:c r="L6" s="87"/>
      <x:c r="M6" s="87"/>
      <x:c r="N6" s="87"/>
      <x:c r="O6" s="87"/>
      <x:c r="P6" s="87"/>
      <x:c r="Q6" s="87"/>
    </x:row>
    <x:row r="7">
      <x:c r="A7" s="19" t="str">
        <x:v>起始胃口</x:v>
      </x:c>
      <x:c r="B7" s="27" t="n">
        <x:v>20</x:v>
      </x:c>
      <x:c r="C7" s="19" t="str">
        <x:v>点</x:v>
      </x:c>
      <x:c r="D7" s="19" t="str">
        <x:v>balance_tables/时间轴.xlsx#配置</x:v>
      </x:c>
      <x:c r="E7" s="87"/>
      <x:c r="F7" s="87"/>
      <x:c r="G7" s="87"/>
      <x:c r="H7" s="87" t="n">
        <x:v>0</x:v>
      </x:c>
      <x:c r="I7" s="89" t="n">
        <x:f>ROUND($B$7+($B$8-$B$7)*POWER(MIN(MAX(H7/$B$9,0),1),$B$10),0)</x:f>
        <x:v>20</x:v>
      </x:c>
      <x:c r="J7" s="87"/>
      <x:c r="K7" s="87"/>
      <x:c r="L7" s="87"/>
      <x:c r="M7" s="87"/>
      <x:c r="N7" s="87"/>
      <x:c r="O7" s="87"/>
      <x:c r="P7" s="87"/>
      <x:c r="Q7" s="87"/>
    </x:row>
    <x:row r="8">
      <x:c r="A8" s="20" t="str">
        <x:v>结束胃口</x:v>
      </x:c>
      <x:c r="B8" s="69" t="n">
        <x:v>300</x:v>
      </x:c>
      <x:c r="C8" s="20" t="str">
        <x:v>点</x:v>
      </x:c>
      <x:c r="D8" s="20" t="str">
        <x:v>balance_tables/时间轴.xlsx#配置</x:v>
      </x:c>
      <x:c r="E8" s="87"/>
      <x:c r="F8" s="87"/>
      <x:c r="G8" s="87"/>
      <x:c r="H8" s="87" t="n">
        <x:v>15</x:v>
      </x:c>
      <x:c r="I8" s="89" t="n">
        <x:f>ROUND($B$7+($B$8-$B$7)*POWER(MIN(MAX(H8/$B$9,0),1),$B$10),0)</x:f>
        <x:v>28</x:v>
      </x:c>
      <x:c r="J8" s="87"/>
      <x:c r="K8" s="87"/>
      <x:c r="L8" s="87"/>
      <x:c r="M8" s="87"/>
      <x:c r="N8" s="87"/>
      <x:c r="O8" s="87"/>
      <x:c r="P8" s="87"/>
      <x:c r="Q8" s="87"/>
    </x:row>
    <x:row r="9">
      <x:c r="A9" s="20" t="str">
        <x:v>增长结束时间</x:v>
      </x:c>
      <x:c r="B9" s="69" t="n">
        <x:v>135</x:v>
      </x:c>
      <x:c r="C9" s="20" t="str">
        <x:v>秒</x:v>
      </x:c>
      <x:c r="D9" s="20" t="str">
        <x:v>balance_tables/时间轴.xlsx#配置</x:v>
      </x:c>
      <x:c r="E9" s="87"/>
      <x:c r="F9" s="87"/>
      <x:c r="G9" s="87"/>
      <x:c r="H9" s="87" t="n">
        <x:v>30</x:v>
      </x:c>
      <x:c r="I9" s="89" t="n">
        <x:f>ROUND($B$7+($B$8-$B$7)*POWER(MIN(MAX(H9/$B$9,0),1),$B$10),0)</x:f>
        <x:v>45</x:v>
      </x:c>
      <x:c r="J9" s="87"/>
      <x:c r="K9" s="87"/>
      <x:c r="L9" s="87"/>
      <x:c r="M9" s="87"/>
      <x:c r="N9" s="87"/>
      <x:c r="O9" s="87"/>
      <x:c r="P9" s="87"/>
      <x:c r="Q9" s="87"/>
    </x:row>
    <x:row r="10">
      <x:c r="A10" s="21" t="str">
        <x:v>增长指数</x:v>
      </x:c>
      <x:c r="B10" s="28" t="n">
        <x:v>1.6</x:v>
      </x:c>
      <x:c r="C10" s="21" t="str">
        <x:v>指数</x:v>
      </x:c>
      <x:c r="D10" s="21" t="str">
        <x:v>balance_tables/时间轴.xlsx#配置</x:v>
      </x:c>
      <x:c r="E10" s="87"/>
      <x:c r="F10" s="87"/>
      <x:c r="G10" s="87"/>
      <x:c r="H10" s="87" t="n">
        <x:v>45</x:v>
      </x:c>
      <x:c r="I10" s="89" t="n">
        <x:f>ROUND($B$7+($B$8-$B$7)*POWER(MIN(MAX(H10/$B$9,0),1),$B$10),0)</x:f>
        <x:v>68</x:v>
      </x:c>
      <x:c r="J10" s="87"/>
      <x:c r="K10" s="87"/>
      <x:c r="L10" s="87"/>
      <x:c r="M10" s="87"/>
      <x:c r="N10" s="87"/>
      <x:c r="O10" s="87"/>
      <x:c r="P10" s="87"/>
      <x:c r="Q10" s="87"/>
    </x:row>
    <x:row r="11">
      <x:c r="A11" s="87"/>
      <x:c r="B11" s="87"/>
      <x:c r="C11" s="87"/>
      <x:c r="D11" s="87"/>
      <x:c r="E11" s="87"/>
      <x:c r="F11" s="87"/>
      <x:c r="G11" s="87"/>
      <x:c r="H11" s="87" t="n">
        <x:v>60</x:v>
      </x:c>
      <x:c r="I11" s="89" t="n">
        <x:f>ROUND($B$7+($B$8-$B$7)*POWER(MIN(MAX(H11/$B$9,0),1),$B$10),0)</x:f>
        <x:v>97</x:v>
      </x:c>
      <x:c r="J11" s="87"/>
      <x:c r="K11" s="87"/>
      <x:c r="L11" s="87"/>
      <x:c r="M11" s="87"/>
      <x:c r="N11" s="87"/>
      <x:c r="O11" s="87"/>
      <x:c r="P11" s="87"/>
      <x:c r="Q11" s="87"/>
    </x:row>
    <x:row r="12" ht="26" customHeight="1">
      <x:c r="A12" s="13" t="str">
        <x:v>显式事件</x:v>
      </x:c>
      <x:c r="B12" s="13" t="str">
        <x:v>显式事件</x:v>
      </x:c>
      <x:c r="C12" s="13" t="str">
        <x:v>显式事件</x:v>
      </x:c>
      <x:c r="D12" s="13" t="str">
        <x:v>显式事件</x:v>
      </x:c>
      <x:c r="E12" s="13" t="str">
        <x:v>显式事件</x:v>
      </x:c>
      <x:c r="F12" s="13" t="str">
        <x:v>显式事件</x:v>
      </x:c>
      <x:c r="G12" s="87"/>
      <x:c r="H12" s="87" t="n">
        <x:v>75</x:v>
      </x:c>
      <x:c r="I12" s="89" t="n">
        <x:f>ROUND($B$7+($B$8-$B$7)*POWER(MIN(MAX(H12/$B$9,0),1),$B$10),0)</x:f>
        <x:v>129</x:v>
      </x:c>
      <x:c r="J12" s="87"/>
      <x:c r="K12" s="87"/>
      <x:c r="L12" s="87"/>
      <x:c r="M12" s="87"/>
      <x:c r="N12" s="87"/>
      <x:c r="O12" s="87"/>
      <x:c r="P12" s="87"/>
      <x:c r="Q12" s="87"/>
    </x:row>
    <x:row r="13" ht="30" customHeight="1">
      <x:c r="A13" s="16" t="str">
        <x:v>序号</x:v>
      </x:c>
      <x:c r="B13" s="16" t="str">
        <x:v>请求时间(s)</x:v>
      </x:c>
      <x:c r="C13" s="16" t="str">
        <x:v>事件 ID</x:v>
      </x:c>
      <x:c r="D13" s="16" t="str">
        <x:v>类型</x:v>
      </x:c>
      <x:c r="E13" s="16" t="str">
        <x:v>基准胃口</x:v>
      </x:c>
      <x:c r="F13" s="16" t="str">
        <x:v>来源</x:v>
      </x:c>
      <x:c r="G13" s="87"/>
      <x:c r="H13" s="87" t="n">
        <x:v>90</x:v>
      </x:c>
      <x:c r="I13" s="89" t="n">
        <x:f>ROUND($B$7+($B$8-$B$7)*POWER(MIN(MAX(H13/$B$9,0),1),$B$10),0)</x:f>
        <x:v>166</x:v>
      </x:c>
      <x:c r="J13" s="87"/>
      <x:c r="K13" s="87"/>
      <x:c r="L13" s="87"/>
      <x:c r="M13" s="87"/>
      <x:c r="N13" s="87"/>
      <x:c r="O13" s="87"/>
      <x:c r="P13" s="87"/>
      <x:c r="Q13" s="87"/>
    </x:row>
    <x:row r="14">
      <x:c r="A14" s="19" t="n">
        <x:v>1</x:v>
      </x:c>
      <x:c r="B14" s="70" t="n">
        <x:v>2</x:v>
      </x:c>
      <x:c r="C14" s="19" t="str">
        <x:v>start_gate</x:v>
      </x:c>
      <x:c r="D14" s="19" t="str">
        <x:v>开局食材门</x:v>
      </x:c>
      <x:c r="E14" s="47" t="n">
        <x:f>ROUND($B$7+($B$8-$B$7)*POWER(MIN(MAX(B14/$B$9,0),1),$B$10),0)</x:f>
        <x:v>20</x:v>
      </x:c>
      <x:c r="F14" s="19" t="str">
        <x:v>balance_tables/时间轴.xlsx#事件</x:v>
      </x:c>
      <x:c r="G14" s="87"/>
      <x:c r="H14" s="87" t="n">
        <x:v>105</x:v>
      </x:c>
      <x:c r="I14" s="89" t="n">
        <x:f>ROUND($B$7+($B$8-$B$7)*POWER(MIN(MAX(H14/$B$9,0),1),$B$10),0)</x:f>
        <x:v>207</x:v>
      </x:c>
      <x:c r="J14" s="87"/>
      <x:c r="K14" s="87"/>
      <x:c r="L14" s="87"/>
      <x:c r="M14" s="87"/>
      <x:c r="N14" s="87"/>
      <x:c r="O14" s="87"/>
      <x:c r="P14" s="87"/>
      <x:c r="Q14" s="87"/>
    </x:row>
    <x:row r="15">
      <x:c r="A15" s="20" t="n">
        <x:v>2</x:v>
      </x:c>
      <x:c r="B15" s="55" t="n">
        <x:v>18</x:v>
      </x:c>
      <x:c r="C15" s="20" t="str">
        <x:v>gate_0</x:v>
      </x:c>
      <x:c r="D15" s="20" t="str">
        <x:v>普通强化门</x:v>
      </x:c>
      <x:c r="E15" s="48" t="n">
        <x:f>ROUND($B$7+($B$8-$B$7)*POWER(MIN(MAX(B15/$B$9,0),1),$B$10),0)</x:f>
        <x:v>31</x:v>
      </x:c>
      <x:c r="F15" s="20" t="str">
        <x:v>balance_tables/时间轴.xlsx#事件</x:v>
      </x:c>
      <x:c r="G15" s="87"/>
      <x:c r="H15" s="87" t="n">
        <x:v>120</x:v>
      </x:c>
      <x:c r="I15" s="89" t="n">
        <x:f>ROUND($B$7+($B$8-$B$7)*POWER(MIN(MAX(H15/$B$9,0),1),$B$10),0)</x:f>
        <x:v>252</x:v>
      </x:c>
      <x:c r="J15" s="87"/>
      <x:c r="K15" s="87"/>
      <x:c r="L15" s="87"/>
      <x:c r="M15" s="87"/>
      <x:c r="N15" s="87"/>
      <x:c r="O15" s="87"/>
      <x:c r="P15" s="87"/>
      <x:c r="Q15" s="87"/>
    </x:row>
    <x:row r="16">
      <x:c r="A16" s="20" t="n">
        <x:v>3</x:v>
      </x:c>
      <x:c r="B16" s="55" t="n">
        <x:v>27</x:v>
      </x:c>
      <x:c r="C16" s="20" t="str">
        <x:v>gate_1</x:v>
      </x:c>
      <x:c r="D16" s="20" t="str">
        <x:v>普通强化门</x:v>
      </x:c>
      <x:c r="E16" s="48" t="n">
        <x:f>ROUND($B$7+($B$8-$B$7)*POWER(MIN(MAX(B16/$B$9,0),1),$B$10),0)</x:f>
        <x:v>41</x:v>
      </x:c>
      <x:c r="F16" s="20" t="str">
        <x:v>balance_tables/时间轴.xlsx#事件</x:v>
      </x:c>
      <x:c r="G16" s="87"/>
      <x:c r="H16" s="87" t="n">
        <x:v>135</x:v>
      </x:c>
      <x:c r="I16" s="89" t="n">
        <x:f>ROUND($B$7+($B$8-$B$7)*POWER(MIN(MAX(H16/$B$9,0),1),$B$10),0)</x:f>
        <x:v>300</x:v>
      </x:c>
      <x:c r="J16" s="87"/>
      <x:c r="K16" s="87"/>
      <x:c r="L16" s="87"/>
      <x:c r="M16" s="87"/>
      <x:c r="N16" s="87"/>
      <x:c r="O16" s="87"/>
      <x:c r="P16" s="87"/>
      <x:c r="Q16" s="87"/>
    </x:row>
    <x:row r="17">
      <x:c r="A17" s="20" t="n">
        <x:v>4</x:v>
      </x:c>
      <x:c r="B17" s="55" t="n">
        <x:v>39</x:v>
      </x:c>
      <x:c r="C17" s="20" t="str">
        <x:v>gate_2</x:v>
      </x:c>
      <x:c r="D17" s="20" t="str">
        <x:v>普通强化门</x:v>
      </x:c>
      <x:c r="E17" s="48" t="n">
        <x:f>ROUND($B$7+($B$8-$B$7)*POWER(MIN(MAX(B17/$B$9,0),1),$B$10),0)</x:f>
        <x:v>58</x:v>
      </x:c>
      <x:c r="F17" s="20" t="str">
        <x:v>balance_tables/时间轴.xlsx#事件</x:v>
      </x:c>
      <x:c r="G17" s="87"/>
      <x:c r="H17" s="87"/>
      <x:c r="I17" s="87"/>
      <x:c r="J17" s="87"/>
      <x:c r="K17" s="87"/>
      <x:c r="L17" s="87"/>
      <x:c r="M17" s="87"/>
      <x:c r="N17" s="87"/>
      <x:c r="O17" s="87"/>
      <x:c r="P17" s="87"/>
      <x:c r="Q17" s="87"/>
    </x:row>
    <x:row r="18">
      <x:c r="A18" s="20" t="n">
        <x:v>5</x:v>
      </x:c>
      <x:c r="B18" s="55" t="n">
        <x:v>50</x:v>
      </x:c>
      <x:c r="C18" s="20" t="str">
        <x:v>gate_3</x:v>
      </x:c>
      <x:c r="D18" s="20" t="str">
        <x:v>普通强化门</x:v>
      </x:c>
      <x:c r="E18" s="48" t="n">
        <x:f>ROUND($B$7+($B$8-$B$7)*POWER(MIN(MAX(B18/$B$9,0),1),$B$10),0)</x:f>
        <x:v>77</x:v>
      </x:c>
      <x:c r="F18" s="20" t="str">
        <x:v>balance_tables/时间轴.xlsx#事件</x:v>
      </x:c>
      <x:c r="G18" s="87"/>
      <x:c r="H18" s="87"/>
      <x:c r="I18" s="87"/>
      <x:c r="J18" s="87"/>
      <x:c r="K18" s="87"/>
      <x:c r="L18" s="87"/>
      <x:c r="M18" s="87"/>
      <x:c r="N18" s="87"/>
      <x:c r="O18" s="87"/>
      <x:c r="P18" s="87"/>
      <x:c r="Q18" s="87"/>
    </x:row>
    <x:row r="19">
      <x:c r="A19" s="20" t="n">
        <x:v>6</x:v>
      </x:c>
      <x:c r="B19" s="55" t="n">
        <x:v>62</x:v>
      </x:c>
      <x:c r="C19" s="20" t="str">
        <x:v>gate_4</x:v>
      </x:c>
      <x:c r="D19" s="20" t="str">
        <x:v>普通强化门</x:v>
      </x:c>
      <x:c r="E19" s="48" t="n">
        <x:f>ROUND($B$7+($B$8-$B$7)*POWER(MIN(MAX(B19/$B$9,0),1),$B$10),0)</x:f>
        <x:v>101</x:v>
      </x:c>
      <x:c r="F19" s="20" t="str">
        <x:v>balance_tables/时间轴.xlsx#事件</x:v>
      </x:c>
      <x:c r="G19" s="87"/>
      <x:c r="H19" s="87"/>
      <x:c r="I19" s="87"/>
      <x:c r="J19" s="87"/>
      <x:c r="K19" s="87"/>
      <x:c r="L19" s="87"/>
      <x:c r="M19" s="87"/>
      <x:c r="N19" s="87"/>
      <x:c r="O19" s="87"/>
      <x:c r="P19" s="87"/>
      <x:c r="Q19" s="87"/>
    </x:row>
    <x:row r="20">
      <x:c r="A20" s="20" t="n">
        <x:v>7</x:v>
      </x:c>
      <x:c r="B20" s="55" t="n">
        <x:v>74</x:v>
      </x:c>
      <x:c r="C20" s="20" t="str">
        <x:v>gate_5</x:v>
      </x:c>
      <x:c r="D20" s="20" t="str">
        <x:v>普通强化门</x:v>
      </x:c>
      <x:c r="E20" s="48" t="n">
        <x:f>ROUND($B$7+($B$8-$B$7)*POWER(MIN(MAX(B20/$B$9,0),1),$B$10),0)</x:f>
        <x:v>127</x:v>
      </x:c>
      <x:c r="F20" s="20" t="str">
        <x:v>balance_tables/时间轴.xlsx#事件</x:v>
      </x:c>
      <x:c r="G20" s="87"/>
      <x:c r="H20" s="87"/>
      <x:c r="I20" s="87"/>
      <x:c r="J20" s="87"/>
      <x:c r="K20" s="87"/>
      <x:c r="L20" s="87"/>
      <x:c r="M20" s="87"/>
      <x:c r="N20" s="87"/>
      <x:c r="O20" s="87"/>
      <x:c r="P20" s="87"/>
      <x:c r="Q20" s="87"/>
    </x:row>
    <x:row r="21">
      <x:c r="A21" s="20" t="n">
        <x:v>8</x:v>
      </x:c>
      <x:c r="B21" s="55" t="n">
        <x:v>80</x:v>
      </x:c>
      <x:c r="C21" s="20" t="str">
        <x:v>elite</x:v>
      </x:c>
      <x:c r="D21" s="20" t="str">
        <x:v>精英</x:v>
      </x:c>
      <x:c r="E21" s="48" t="n">
        <x:f>ROUND($B$7+($B$8-$B$7)*POWER(MIN(MAX(B21/$B$9,0),1),$B$10),0)</x:f>
        <x:v>141</x:v>
      </x:c>
      <x:c r="F21" s="20" t="str">
        <x:v>balance_tables/时间轴.xlsx#事件</x:v>
      </x:c>
      <x:c r="G21" s="87"/>
      <x:c r="H21" s="87"/>
      <x:c r="I21" s="87"/>
      <x:c r="J21" s="87"/>
      <x:c r="K21" s="87"/>
      <x:c r="L21" s="87"/>
      <x:c r="M21" s="87"/>
      <x:c r="N21" s="87"/>
      <x:c r="O21" s="87"/>
      <x:c r="P21" s="87"/>
      <x:c r="Q21" s="87"/>
    </x:row>
    <x:row r="22">
      <x:c r="A22" s="20" t="n">
        <x:v>9</x:v>
      </x:c>
      <x:c r="B22" s="55" t="n">
        <x:v>86</x:v>
      </x:c>
      <x:c r="C22" s="20" t="str">
        <x:v>gate_6</x:v>
      </x:c>
      <x:c r="D22" s="20" t="str">
        <x:v>普通强化门</x:v>
      </x:c>
      <x:c r="E22" s="48" t="n">
        <x:f>ROUND($B$7+($B$8-$B$7)*POWER(MIN(MAX(B22/$B$9,0),1),$B$10),0)</x:f>
        <x:v>156</x:v>
      </x:c>
      <x:c r="F22" s="20" t="str">
        <x:v>balance_tables/时间轴.xlsx#事件</x:v>
      </x:c>
      <x:c r="G22" s="87"/>
      <x:c r="H22" s="87"/>
      <x:c r="I22" s="87"/>
      <x:c r="J22" s="87"/>
      <x:c r="K22" s="87"/>
      <x:c r="L22" s="87"/>
      <x:c r="M22" s="87"/>
      <x:c r="N22" s="87"/>
      <x:c r="O22" s="87"/>
      <x:c r="P22" s="87"/>
      <x:c r="Q22" s="87"/>
    </x:row>
    <x:row r="23">
      <x:c r="A23" s="20" t="n">
        <x:v>10</x:v>
      </x:c>
      <x:c r="B23" s="55" t="n">
        <x:v>94</x:v>
      </x:c>
      <x:c r="C23" s="20" t="str">
        <x:v>gate_7</x:v>
      </x:c>
      <x:c r="D23" s="20" t="str">
        <x:v>普通强化门</x:v>
      </x:c>
      <x:c r="E23" s="48" t="n">
        <x:f>ROUND($B$7+($B$8-$B$7)*POWER(MIN(MAX(B23/$B$9,0),1),$B$10),0)</x:f>
        <x:v>177</x:v>
      </x:c>
      <x:c r="F23" s="20" t="str">
        <x:v>balance_tables/时间轴.xlsx#事件</x:v>
      </x:c>
      <x:c r="G23" s="87"/>
      <x:c r="H23" s="87"/>
      <x:c r="I23" s="87"/>
      <x:c r="J23" s="87"/>
      <x:c r="K23" s="87"/>
      <x:c r="L23" s="87"/>
      <x:c r="M23" s="87"/>
      <x:c r="N23" s="87"/>
      <x:c r="O23" s="87"/>
      <x:c r="P23" s="87"/>
      <x:c r="Q23" s="87"/>
    </x:row>
    <x:row r="24">
      <x:c r="A24" s="20" t="n">
        <x:v>11</x:v>
      </x:c>
      <x:c r="B24" s="55" t="n">
        <x:v>102</x:v>
      </x:c>
      <x:c r="C24" s="20" t="str">
        <x:v>gate_8</x:v>
      </x:c>
      <x:c r="D24" s="20" t="str">
        <x:v>普通强化门</x:v>
      </x:c>
      <x:c r="E24" s="48" t="n">
        <x:f>ROUND($B$7+($B$8-$B$7)*POWER(MIN(MAX(B24/$B$9,0),1),$B$10),0)</x:f>
        <x:v>199</x:v>
      </x:c>
      <x:c r="F24" s="20" t="str">
        <x:v>balance_tables/时间轴.xlsx#事件</x:v>
      </x:c>
      <x:c r="G24" s="87"/>
      <x:c r="H24" s="87"/>
      <x:c r="I24" s="87"/>
      <x:c r="J24" s="87"/>
      <x:c r="K24" s="87"/>
      <x:c r="L24" s="87"/>
      <x:c r="M24" s="87"/>
      <x:c r="N24" s="87"/>
      <x:c r="O24" s="87"/>
      <x:c r="P24" s="87"/>
      <x:c r="Q24" s="87"/>
    </x:row>
    <x:row r="25">
      <x:c r="A25" s="20" t="n">
        <x:v>12</x:v>
      </x:c>
      <x:c r="B25" s="55" t="n">
        <x:v>110</x:v>
      </x:c>
      <x:c r="C25" s="20" t="str">
        <x:v>gate_9</x:v>
      </x:c>
      <x:c r="D25" s="20" t="str">
        <x:v>普通强化门</x:v>
      </x:c>
      <x:c r="E25" s="48" t="n">
        <x:f>ROUND($B$7+($B$8-$B$7)*POWER(MIN(MAX(B25/$B$9,0),1),$B$10),0)</x:f>
        <x:v>222</x:v>
      </x:c>
      <x:c r="F25" s="20" t="str">
        <x:v>balance_tables/时间轴.xlsx#事件</x:v>
      </x:c>
      <x:c r="G25" s="87"/>
      <x:c r="H25" s="87"/>
      <x:c r="I25" s="87"/>
      <x:c r="J25" s="87"/>
      <x:c r="K25" s="87"/>
      <x:c r="L25" s="87"/>
      <x:c r="M25" s="87"/>
      <x:c r="N25" s="87"/>
      <x:c r="O25" s="87"/>
      <x:c r="P25" s="87"/>
      <x:c r="Q25" s="87"/>
    </x:row>
    <x:row r="26">
      <x:c r="A26" s="20" t="n">
        <x:v>13</x:v>
      </x:c>
      <x:c r="B26" s="55" t="n">
        <x:v>118</x:v>
      </x:c>
      <x:c r="C26" s="20" t="str">
        <x:v>gate_10</x:v>
      </x:c>
      <x:c r="D26" s="20" t="str">
        <x:v>普通强化门</x:v>
      </x:c>
      <x:c r="E26" s="48" t="n">
        <x:f>ROUND($B$7+($B$8-$B$7)*POWER(MIN(MAX(B26/$B$9,0),1),$B$10),0)</x:f>
        <x:v>246</x:v>
      </x:c>
      <x:c r="F26" s="20" t="str">
        <x:v>balance_tables/时间轴.xlsx#事件</x:v>
      </x:c>
      <x:c r="G26" s="87"/>
      <x:c r="H26" s="87"/>
      <x:c r="I26" s="87"/>
      <x:c r="J26" s="87"/>
      <x:c r="K26" s="87"/>
      <x:c r="L26" s="87"/>
      <x:c r="M26" s="87"/>
      <x:c r="N26" s="87"/>
      <x:c r="O26" s="87"/>
      <x:c r="P26" s="87"/>
      <x:c r="Q26" s="87"/>
    </x:row>
    <x:row r="27">
      <x:c r="A27" s="20" t="n">
        <x:v>14</x:v>
      </x:c>
      <x:c r="B27" s="55" t="n">
        <x:v>126</x:v>
      </x:c>
      <x:c r="C27" s="20" t="str">
        <x:v>gate_11</x:v>
      </x:c>
      <x:c r="D27" s="20" t="str">
        <x:v>普通强化门</x:v>
      </x:c>
      <x:c r="E27" s="48" t="n">
        <x:f>ROUND($B$7+($B$8-$B$7)*POWER(MIN(MAX(B27/$B$9,0),1),$B$10),0)</x:f>
        <x:v>271</x:v>
      </x:c>
      <x:c r="F27" s="20" t="str">
        <x:v>balance_tables/时间轴.xlsx#事件</x:v>
      </x:c>
      <x:c r="G27" s="87"/>
      <x:c r="H27" s="87"/>
      <x:c r="I27" s="87"/>
      <x:c r="J27" s="87"/>
      <x:c r="K27" s="87"/>
      <x:c r="L27" s="87"/>
      <x:c r="M27" s="87"/>
      <x:c r="N27" s="87"/>
      <x:c r="O27" s="87"/>
      <x:c r="P27" s="87"/>
      <x:c r="Q27" s="87"/>
    </x:row>
    <x:row r="28">
      <x:c r="A28" s="21" t="n">
        <x:v>15</x:v>
      </x:c>
      <x:c r="B28" s="71" t="n">
        <x:v>135</x:v>
      </x:c>
      <x:c r="C28" s="21" t="str">
        <x:v>boss</x:v>
      </x:c>
      <x:c r="D28" s="21" t="str">
        <x:v>Boss</x:v>
      </x:c>
      <x:c r="E28" s="49" t="n">
        <x:f>ROUND($B$7+($B$8-$B$7)*POWER(MIN(MAX(B28/$B$9,0),1),$B$10),0)</x:f>
        <x:v>300</x:v>
      </x:c>
      <x:c r="F28" s="21" t="str">
        <x:v>balance_tables/时间轴.xlsx#事件</x:v>
      </x:c>
      <x:c r="G28" s="87"/>
      <x:c r="H28" s="87"/>
      <x:c r="I28" s="87"/>
      <x:c r="J28" s="87"/>
      <x:c r="K28" s="87"/>
      <x:c r="L28" s="87"/>
      <x:c r="M28" s="87"/>
      <x:c r="N28" s="87"/>
      <x:c r="O28" s="87"/>
      <x:c r="P28" s="87"/>
      <x:c r="Q28" s="87"/>
    </x:row>
  </x:sheetData>
  <x:mergeCells>
    <x:mergeCell ref="A1:Q1"/>
    <x:mergeCell ref="A2:Q3"/>
    <x:mergeCell ref="A5:F5"/>
    <x:mergeCell ref="A12:F12"/>
  </x:mergeCells>
  <x:pageMargins left="0.7" right="0.7" top="0.75" bottom="0.75" header="0.3" footer="0.3"/>
  <x:drawing xmlns:r="http://schemas.openxmlformats.org/officeDocument/2006/relationships" r:id="Re787f4dd7dca48b3"/>
  <x:tableParts count="2">
    <x:tablePart xmlns:r="http://schemas.openxmlformats.org/officeDocument/2006/relationships" r:id="R8fd411838f3d45e3"/>
    <x:tablePart xmlns:r="http://schemas.openxmlformats.org/officeDocument/2006/relationships" r:id="R1198b54a31404b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</x:cols>
  <x:sheetData>
    <x:row r="1" ht="40" customHeight="1">
      <x:c r="A1" s="3" t="str">
        <x:v>脚本生成的普通食客波次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9" t="str">
        <x:v>普通食客不在 .tres 时间轴内逐条列出，而由 RunController 按规则生成。下方预览由黄色规则单元格计算，修改后可观察波次时刻与构成，但不会回写脚本。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87"/>
      <x:c r="B4" s="87"/>
      <x:c r="C4" s="87"/>
      <x:c r="D4" s="87"/>
      <x:c r="E4" s="87"/>
      <x:c r="F4" s="87"/>
      <x:c r="G4" s="87"/>
      <x:c r="H4" s="87"/>
      <x:c r="I4" s="87"/>
      <x:c r="J4" s="87"/>
    </x:row>
    <x:row r="5" ht="26" customHeight="1">
      <x:c r="A5" s="13" t="str">
        <x:v>波次规则</x:v>
      </x:c>
      <x:c r="B5" s="13" t="str">
        <x:v>波次规则</x:v>
      </x:c>
      <x:c r="C5" s="13" t="str">
        <x:v>波次规则</x:v>
      </x:c>
      <x:c r="D5" s="13" t="str">
        <x:v>波次规则</x:v>
      </x:c>
      <x:c r="E5" s="13" t="str">
        <x:v>波次规则</x:v>
      </x:c>
      <x:c r="F5" s="13" t="str">
        <x:v>波次规则</x:v>
      </x:c>
      <x:c r="G5" s="87"/>
      <x:c r="H5" s="87"/>
      <x:c r="I5" s="87"/>
      <x:c r="J5" s="87"/>
    </x:row>
    <x:row r="6" ht="30" customHeight="1">
      <x:c r="A6" s="16" t="str">
        <x:v>参数</x:v>
      </x:c>
      <x:c r="B6" s="16" t="str">
        <x:v>当前值</x:v>
      </x:c>
      <x:c r="C6" s="16" t="str">
        <x:v>单位</x:v>
      </x:c>
      <x:c r="D6" s="16" t="str">
        <x:v>说明</x:v>
      </x:c>
      <x:c r="E6" s="16" t="str">
        <x:v>来源</x:v>
      </x:c>
      <x:c r="F6" s="87"/>
      <x:c r="G6" s="87"/>
      <x:c r="H6" s="87"/>
      <x:c r="I6" s="87"/>
      <x:c r="J6" s="87"/>
    </x:row>
    <x:row r="7">
      <x:c r="A7" s="19" t="str">
        <x:v>首次生成时间</x:v>
      </x:c>
      <x:c r="B7" s="27" t="n">
        <x:v>8</x:v>
      </x:c>
      <x:c r="C7" s="19" t="str">
        <x:v>秒</x:v>
      </x:c>
      <x:c r="D7" s="22" t="str">
        <x:v>第一波普通食客请求时间</x:v>
      </x:c>
      <x:c r="E7" s="19" t="str">
        <x:v>scripts/run.gd:62</x:v>
      </x:c>
      <x:c r="F7" s="87"/>
      <x:c r="G7" s="87"/>
      <x:c r="H7" s="87"/>
      <x:c r="I7" s="87"/>
      <x:c r="J7" s="87"/>
    </x:row>
    <x:row r="8">
      <x:c r="A8" s="20" t="str">
        <x:v>停止生成时间</x:v>
      </x:c>
      <x:c r="B8" s="69" t="n">
        <x:v>132</x:v>
      </x:c>
      <x:c r="C8" s="20" t="str">
        <x:v>秒</x:v>
      </x:c>
      <x:c r="D8" s="23" t="str">
        <x:v>达到该时间或精英阶段时停止</x:v>
      </x:c>
      <x:c r="E8" s="20" t="str">
        <x:v>scripts/run.gd:391-393</x:v>
      </x:c>
      <x:c r="F8" s="87"/>
      <x:c r="G8" s="87"/>
      <x:c r="H8" s="87"/>
      <x:c r="I8" s="87"/>
      <x:c r="J8" s="87"/>
    </x:row>
    <x:row r="9">
      <x:c r="A9" s="20" t="str">
        <x:v>前段间隔</x:v>
      </x:c>
      <x:c r="B9" s="69" t="n">
        <x:v>3.2</x:v>
      </x:c>
      <x:c r="C9" s="20" t="str">
        <x:v>秒</x:v>
      </x:c>
      <x:c r="D9" s="23" t="str">
        <x:v>下一次时间 &lt; 78s 时使用</x:v>
      </x:c>
      <x:c r="E9" s="20" t="str">
        <x:v>scripts/run.gd:404</x:v>
      </x:c>
      <x:c r="F9" s="87"/>
      <x:c r="G9" s="87"/>
      <x:c r="H9" s="87"/>
      <x:c r="I9" s="87"/>
      <x:c r="J9" s="87"/>
    </x:row>
    <x:row r="10">
      <x:c r="A10" s="20" t="str">
        <x:v>间隔切换阈值</x:v>
      </x:c>
      <x:c r="B10" s="69" t="n">
        <x:v>78</x:v>
      </x:c>
      <x:c r="C10" s="20" t="str">
        <x:v>秒</x:v>
      </x:c>
      <x:c r="D10" s="23" t="str">
        <x:v>按当前下一次生成时间判断</x:v>
      </x:c>
      <x:c r="E10" s="20" t="str">
        <x:v>scripts/run.gd:404</x:v>
      </x:c>
      <x:c r="F10" s="87"/>
      <x:c r="G10" s="87"/>
      <x:c r="H10" s="87"/>
      <x:c r="I10" s="87"/>
      <x:c r="J10" s="87"/>
    </x:row>
    <x:row r="11">
      <x:c r="A11" s="20" t="str">
        <x:v>后段间隔</x:v>
      </x:c>
      <x:c r="B11" s="69" t="n">
        <x:v>2.8</x:v>
      </x:c>
      <x:c r="C11" s="20" t="str">
        <x:v>秒</x:v>
      </x:c>
      <x:c r="D11" s="23" t="str">
        <x:v>达到阈值后使用</x:v>
      </x:c>
      <x:c r="E11" s="20" t="str">
        <x:v>scripts/run.gd:404</x:v>
      </x:c>
      <x:c r="F11" s="87"/>
      <x:c r="G11" s="87"/>
      <x:c r="H11" s="87"/>
      <x:c r="I11" s="87"/>
      <x:c r="J11" s="87"/>
    </x:row>
    <x:row r="12">
      <x:c r="A12" s="20" t="str">
        <x:v>主模式长度</x:v>
      </x:c>
      <x:c r="B12" s="69" t="n">
        <x:v>5</x:v>
      </x:c>
      <x:c r="C12" s="20" t="str">
        <x:v>波</x:v>
      </x:c>
      <x:c r="D12" s="23" t="str">
        <x:v>普通、普通、快速、普通、远程</x:v>
      </x:c>
      <x:c r="E12" s="20" t="str">
        <x:v>scripts/run.gd:394-399</x:v>
      </x:c>
      <x:c r="F12" s="87"/>
      <x:c r="G12" s="87"/>
      <x:c r="H12" s="87"/>
      <x:c r="I12" s="87"/>
      <x:c r="J12" s="87"/>
    </x:row>
    <x:row r="13">
      <x:c r="A13" s="20" t="str">
        <x:v>追加波周期</x:v>
      </x:c>
      <x:c r="B13" s="69" t="n">
        <x:v>4</x:v>
      </x:c>
      <x:c r="C13" s="20" t="str">
        <x:v>波</x:v>
      </x:c>
      <x:c r="D13" s="23" t="str">
        <x:v>每第 4 波追加一只；通常快速，远程主波时追加普通</x:v>
      </x:c>
      <x:c r="E13" s="20" t="str">
        <x:v>scripts/run.gd:401-402</x:v>
      </x:c>
      <x:c r="F13" s="87"/>
      <x:c r="G13" s="87"/>
      <x:c r="H13" s="87"/>
      <x:c r="I13" s="87"/>
      <x:c r="J13" s="87"/>
    </x:row>
    <x:row r="14">
      <x:c r="A14" s="21" t="str">
        <x:v>精英后恢复延迟</x:v>
      </x:c>
      <x:c r="B14" s="28" t="n">
        <x:v>1</x:v>
      </x:c>
      <x:c r="C14" s="21" t="str">
        <x:v>秒</x:v>
      </x:c>
      <x:c r="D14" s="24" t="str">
        <x:v>完成特殊选择后重排下一波</x:v>
      </x:c>
      <x:c r="E14" s="21" t="str">
        <x:v>scripts/run.gd:541</x:v>
      </x:c>
      <x:c r="F14" s="87"/>
      <x:c r="G14" s="87"/>
      <x:c r="H14" s="87"/>
      <x:c r="I14" s="87"/>
      <x:c r="J14" s="87"/>
    </x:row>
    <x:row r="15">
      <x:c r="A15" s="87"/>
      <x:c r="B15" s="87"/>
      <x:c r="C15" s="87"/>
      <x:c r="D15" s="87"/>
      <x:c r="E15" s="87"/>
      <x:c r="F15" s="87"/>
      <x:c r="G15" s="87"/>
      <x:c r="H15" s="87"/>
      <x:c r="I15" s="87"/>
      <x:c r="J15" s="87"/>
    </x:row>
    <x:row r="16" ht="26" customHeight="1">
      <x:c r="A16" s="13" t="str">
        <x:v>按当前规则推演</x:v>
      </x:c>
      <x:c r="B16" s="13" t="str">
        <x:v>按当前规则推演</x:v>
      </x:c>
      <x:c r="C16" s="13" t="str">
        <x:v>按当前规则推演</x:v>
      </x:c>
      <x:c r="D16" s="13" t="str">
        <x:v>按当前规则推演</x:v>
      </x:c>
      <x:c r="E16" s="13" t="str">
        <x:v>按当前规则推演</x:v>
      </x:c>
      <x:c r="F16" s="13" t="str">
        <x:v>按当前规则推演</x:v>
      </x:c>
      <x:c r="G16" s="13" t="str">
        <x:v>按当前规则推演</x:v>
      </x:c>
      <x:c r="H16" s="13" t="str">
        <x:v>按当前规则推演</x:v>
      </x:c>
      <x:c r="I16" s="13" t="str">
        <x:v>按当前规则推演</x:v>
      </x:c>
      <x:c r="J16" s="13" t="str">
        <x:v>按当前规则推演</x:v>
      </x:c>
    </x:row>
    <x:row r="17" ht="30" customHeight="1">
      <x:c r="A17" s="16" t="str">
        <x:v>波次</x:v>
      </x:c>
      <x:c r="B17" s="16" t="str">
        <x:v>索引</x:v>
      </x:c>
      <x:c r="C17" s="16" t="str">
        <x:v>请求时间(s)</x:v>
      </x:c>
      <x:c r="D17" s="16" t="str">
        <x:v>模式位</x:v>
      </x:c>
      <x:c r="E17" s="16" t="str">
        <x:v>主食客</x:v>
      </x:c>
      <x:c r="F17" s="16" t="str">
        <x:v>追加食客</x:v>
      </x:c>
      <x:c r="G17" s="16" t="str">
        <x:v>下次增加(s)</x:v>
      </x:c>
      <x:c r="H17" s="16" t="str">
        <x:v>状态</x:v>
      </x:c>
      <x:c r="I17" s="87"/>
      <x:c r="J17" s="87"/>
    </x:row>
    <x:row r="18">
      <x:c r="A18" s="19" t="n">
        <x:v>1</x:v>
      </x:c>
      <x:c r="B18" s="19" t="n">
        <x:v>0</x:v>
      </x:c>
      <x:c r="C18" s="75" t="n">
        <x:f>$B$7</x:f>
        <x:v>8</x:v>
      </x:c>
      <x:c r="D18" s="77" t="n">
        <x:f>IF(C18="","",MOD(B18,$B$12))</x:f>
        <x:v>0</x:v>
      </x:c>
      <x:c r="E18" s="77" t="str">
        <x:f>IF(C18="","",IF(D18=2,"fast_guest",IF(D18=4,"ranged_guest","basic_guest")))</x:f>
        <x:v>basic_guest</x:v>
      </x:c>
      <x:c r="F18" s="77" t="str">
        <x:f>IF(C18="","",IF(MOD(B18,$B$13)=$B$13-1,IF(D18=4,"basic_guest","fast_guest"),""))</x:f>
      </x:c>
      <x:c r="G18" s="75" t="n">
        <x:f>IF(C18="","",IF(C18&lt;$B$10,$B$9,$B$11))</x:f>
        <x:v>3.2</x:v>
      </x:c>
      <x:c r="H18" s="19" t="str">
        <x:v>公式预览</x:v>
      </x:c>
      <x:c r="I18" s="87"/>
      <x:c r="J18" s="87"/>
    </x:row>
    <x:row r="19">
      <x:c r="A19" s="20" t="n">
        <x:v>2</x:v>
      </x:c>
      <x:c r="B19" s="20" t="n">
        <x:v>1</x:v>
      </x:c>
      <x:c r="C19" s="56" t="n">
        <x:f>IF(C18="","",IF(C18+G18&gt;=$B$8,"",C18+G18))</x:f>
        <x:v>11.2</x:v>
      </x:c>
      <x:c r="D19" s="78" t="n">
        <x:f>IF(C19="","",MOD(B19,$B$12))</x:f>
        <x:v>1</x:v>
      </x:c>
      <x:c r="E19" s="78" t="str">
        <x:f>IF(C19="","",IF(D19=2,"fast_guest",IF(D19=4,"ranged_guest","basic_guest")))</x:f>
        <x:v>basic_guest</x:v>
      </x:c>
      <x:c r="F19" s="78" t="str">
        <x:f>IF(C19="","",IF(MOD(B19,$B$13)=$B$13-1,IF(D19=4,"basic_guest","fast_guest"),""))</x:f>
      </x:c>
      <x:c r="G19" s="56" t="n">
        <x:f>IF(C19="","",IF(C19&lt;$B$10,$B$9,$B$11))</x:f>
        <x:v>3.2</x:v>
      </x:c>
      <x:c r="H19" s="20" t="str">
        <x:v>公式预览</x:v>
      </x:c>
      <x:c r="I19" s="87"/>
      <x:c r="J19" s="87"/>
    </x:row>
    <x:row r="20">
      <x:c r="A20" s="20" t="n">
        <x:v>3</x:v>
      </x:c>
      <x:c r="B20" s="20" t="n">
        <x:v>2</x:v>
      </x:c>
      <x:c r="C20" s="56" t="n">
        <x:f>IF(C19="","",IF(C19+G19&gt;=$B$8,"",C19+G19))</x:f>
        <x:v>14.399999999999999</x:v>
      </x:c>
      <x:c r="D20" s="78" t="n">
        <x:f>IF(C20="","",MOD(B20,$B$12))</x:f>
        <x:v>2</x:v>
      </x:c>
      <x:c r="E20" s="78" t="str">
        <x:f>IF(C20="","",IF(D20=2,"fast_guest",IF(D20=4,"ranged_guest","basic_guest")))</x:f>
        <x:v>fast_guest</x:v>
      </x:c>
      <x:c r="F20" s="78" t="str">
        <x:f>IF(C20="","",IF(MOD(B20,$B$13)=$B$13-1,IF(D20=4,"basic_guest","fast_guest"),""))</x:f>
      </x:c>
      <x:c r="G20" s="56" t="n">
        <x:f>IF(C20="","",IF(C20&lt;$B$10,$B$9,$B$11))</x:f>
        <x:v>3.2</x:v>
      </x:c>
      <x:c r="H20" s="20" t="str">
        <x:v>公式预览</x:v>
      </x:c>
      <x:c r="I20" s="87"/>
      <x:c r="J20" s="87"/>
    </x:row>
    <x:row r="21">
      <x:c r="A21" s="20" t="n">
        <x:v>4</x:v>
      </x:c>
      <x:c r="B21" s="20" t="n">
        <x:v>3</x:v>
      </x:c>
      <x:c r="C21" s="56" t="n">
        <x:f>IF(C20="","",IF(C20+G20&gt;=$B$8,"",C20+G20))</x:f>
        <x:v>17.599999999999998</x:v>
      </x:c>
      <x:c r="D21" s="78" t="n">
        <x:f>IF(C21="","",MOD(B21,$B$12))</x:f>
        <x:v>3</x:v>
      </x:c>
      <x:c r="E21" s="78" t="str">
        <x:f>IF(C21="","",IF(D21=2,"fast_guest",IF(D21=4,"ranged_guest","basic_guest")))</x:f>
        <x:v>basic_guest</x:v>
      </x:c>
      <x:c r="F21" s="78" t="str">
        <x:f>IF(C21="","",IF(MOD(B21,$B$13)=$B$13-1,IF(D21=4,"basic_guest","fast_guest"),""))</x:f>
        <x:v>fast_guest</x:v>
      </x:c>
      <x:c r="G21" s="56" t="n">
        <x:f>IF(C21="","",IF(C21&lt;$B$10,$B$9,$B$11))</x:f>
        <x:v>3.2</x:v>
      </x:c>
      <x:c r="H21" s="20" t="str">
        <x:v>公式预览</x:v>
      </x:c>
      <x:c r="I21" s="87"/>
      <x:c r="J21" s="87"/>
    </x:row>
    <x:row r="22">
      <x:c r="A22" s="20" t="n">
        <x:v>5</x:v>
      </x:c>
      <x:c r="B22" s="20" t="n">
        <x:v>4</x:v>
      </x:c>
      <x:c r="C22" s="56" t="n">
        <x:f>IF(C21="","",IF(C21+G21&gt;=$B$8,"",C21+G21))</x:f>
        <x:v>20.799999999999997</x:v>
      </x:c>
      <x:c r="D22" s="78" t="n">
        <x:f>IF(C22="","",MOD(B22,$B$12))</x:f>
        <x:v>4</x:v>
      </x:c>
      <x:c r="E22" s="78" t="str">
        <x:f>IF(C22="","",IF(D22=2,"fast_guest",IF(D22=4,"ranged_guest","basic_guest")))</x:f>
        <x:v>ranged_guest</x:v>
      </x:c>
      <x:c r="F22" s="78" t="str">
        <x:f>IF(C22="","",IF(MOD(B22,$B$13)=$B$13-1,IF(D22=4,"basic_guest","fast_guest"),""))</x:f>
      </x:c>
      <x:c r="G22" s="56" t="n">
        <x:f>IF(C22="","",IF(C22&lt;$B$10,$B$9,$B$11))</x:f>
        <x:v>3.2</x:v>
      </x:c>
      <x:c r="H22" s="20" t="str">
        <x:v>公式预览</x:v>
      </x:c>
      <x:c r="I22" s="87"/>
      <x:c r="J22" s="87"/>
    </x:row>
    <x:row r="23">
      <x:c r="A23" s="20" t="n">
        <x:v>6</x:v>
      </x:c>
      <x:c r="B23" s="20" t="n">
        <x:v>5</x:v>
      </x:c>
      <x:c r="C23" s="56" t="n">
        <x:f>IF(C22="","",IF(C22+G22&gt;=$B$8,"",C22+G22))</x:f>
        <x:v>23.999999999999996</x:v>
      </x:c>
      <x:c r="D23" s="78" t="n">
        <x:f>IF(C23="","",MOD(B23,$B$12))</x:f>
        <x:v>0</x:v>
      </x:c>
      <x:c r="E23" s="78" t="str">
        <x:f>IF(C23="","",IF(D23=2,"fast_guest",IF(D23=4,"ranged_guest","basic_guest")))</x:f>
        <x:v>basic_guest</x:v>
      </x:c>
      <x:c r="F23" s="78" t="str">
        <x:f>IF(C23="","",IF(MOD(B23,$B$13)=$B$13-1,IF(D23=4,"basic_guest","fast_guest"),""))</x:f>
      </x:c>
      <x:c r="G23" s="56" t="n">
        <x:f>IF(C23="","",IF(C23&lt;$B$10,$B$9,$B$11))</x:f>
        <x:v>3.2</x:v>
      </x:c>
      <x:c r="H23" s="20" t="str">
        <x:v>公式预览</x:v>
      </x:c>
      <x:c r="I23" s="87"/>
      <x:c r="J23" s="87"/>
    </x:row>
    <x:row r="24">
      <x:c r="A24" s="20" t="n">
        <x:v>7</x:v>
      </x:c>
      <x:c r="B24" s="20" t="n">
        <x:v>6</x:v>
      </x:c>
      <x:c r="C24" s="56" t="n">
        <x:f>IF(C23="","",IF(C23+G23&gt;=$B$8,"",C23+G23))</x:f>
        <x:v>27.199999999999996</x:v>
      </x:c>
      <x:c r="D24" s="78" t="n">
        <x:f>IF(C24="","",MOD(B24,$B$12))</x:f>
        <x:v>1</x:v>
      </x:c>
      <x:c r="E24" s="78" t="str">
        <x:f>IF(C24="","",IF(D24=2,"fast_guest",IF(D24=4,"ranged_guest","basic_guest")))</x:f>
        <x:v>basic_guest</x:v>
      </x:c>
      <x:c r="F24" s="78" t="str">
        <x:f>IF(C24="","",IF(MOD(B24,$B$13)=$B$13-1,IF(D24=4,"basic_guest","fast_guest"),""))</x:f>
      </x:c>
      <x:c r="G24" s="56" t="n">
        <x:f>IF(C24="","",IF(C24&lt;$B$10,$B$9,$B$11))</x:f>
        <x:v>3.2</x:v>
      </x:c>
      <x:c r="H24" s="20" t="str">
        <x:v>公式预览</x:v>
      </x:c>
      <x:c r="I24" s="87"/>
      <x:c r="J24" s="87"/>
    </x:row>
    <x:row r="25">
      <x:c r="A25" s="20" t="n">
        <x:v>8</x:v>
      </x:c>
      <x:c r="B25" s="20" t="n">
        <x:v>7</x:v>
      </x:c>
      <x:c r="C25" s="56" t="n">
        <x:f>IF(C24="","",IF(C24+G24&gt;=$B$8,"",C24+G24))</x:f>
        <x:v>30.399999999999995</x:v>
      </x:c>
      <x:c r="D25" s="78" t="n">
        <x:f>IF(C25="","",MOD(B25,$B$12))</x:f>
        <x:v>2</x:v>
      </x:c>
      <x:c r="E25" s="78" t="str">
        <x:f>IF(C25="","",IF(D25=2,"fast_guest",IF(D25=4,"ranged_guest","basic_guest")))</x:f>
        <x:v>fast_guest</x:v>
      </x:c>
      <x:c r="F25" s="78" t="str">
        <x:f>IF(C25="","",IF(MOD(B25,$B$13)=$B$13-1,IF(D25=4,"basic_guest","fast_guest"),""))</x:f>
        <x:v>fast_guest</x:v>
      </x:c>
      <x:c r="G25" s="56" t="n">
        <x:f>IF(C25="","",IF(C25&lt;$B$10,$B$9,$B$11))</x:f>
        <x:v>3.2</x:v>
      </x:c>
      <x:c r="H25" s="20" t="str">
        <x:v>公式预览</x:v>
      </x:c>
      <x:c r="I25" s="87"/>
      <x:c r="J25" s="87"/>
    </x:row>
    <x:row r="26">
      <x:c r="A26" s="20" t="n">
        <x:v>9</x:v>
      </x:c>
      <x:c r="B26" s="20" t="n">
        <x:v>8</x:v>
      </x:c>
      <x:c r="C26" s="56" t="n">
        <x:f>IF(C25="","",IF(C25+G25&gt;=$B$8,"",C25+G25))</x:f>
        <x:v>33.599999999999994</x:v>
      </x:c>
      <x:c r="D26" s="78" t="n">
        <x:f>IF(C26="","",MOD(B26,$B$12))</x:f>
        <x:v>3</x:v>
      </x:c>
      <x:c r="E26" s="78" t="str">
        <x:f>IF(C26="","",IF(D26=2,"fast_guest",IF(D26=4,"ranged_guest","basic_guest")))</x:f>
        <x:v>basic_guest</x:v>
      </x:c>
      <x:c r="F26" s="78" t="str">
        <x:f>IF(C26="","",IF(MOD(B26,$B$13)=$B$13-1,IF(D26=4,"basic_guest","fast_guest"),""))</x:f>
      </x:c>
      <x:c r="G26" s="56" t="n">
        <x:f>IF(C26="","",IF(C26&lt;$B$10,$B$9,$B$11))</x:f>
        <x:v>3.2</x:v>
      </x:c>
      <x:c r="H26" s="20" t="str">
        <x:v>公式预览</x:v>
      </x:c>
      <x:c r="I26" s="87"/>
      <x:c r="J26" s="87"/>
    </x:row>
    <x:row r="27">
      <x:c r="A27" s="20" t="n">
        <x:v>10</x:v>
      </x:c>
      <x:c r="B27" s="20" t="n">
        <x:v>9</x:v>
      </x:c>
      <x:c r="C27" s="56" t="n">
        <x:f>IF(C26="","",IF(C26+G26&gt;=$B$8,"",C26+G26))</x:f>
        <x:v>36.8</x:v>
      </x:c>
      <x:c r="D27" s="78" t="n">
        <x:f>IF(C27="","",MOD(B27,$B$12))</x:f>
        <x:v>4</x:v>
      </x:c>
      <x:c r="E27" s="78" t="str">
        <x:f>IF(C27="","",IF(D27=2,"fast_guest",IF(D27=4,"ranged_guest","basic_guest")))</x:f>
        <x:v>ranged_guest</x:v>
      </x:c>
      <x:c r="F27" s="78" t="str">
        <x:f>IF(C27="","",IF(MOD(B27,$B$13)=$B$13-1,IF(D27=4,"basic_guest","fast_guest"),""))</x:f>
      </x:c>
      <x:c r="G27" s="56" t="n">
        <x:f>IF(C27="","",IF(C27&lt;$B$10,$B$9,$B$11))</x:f>
        <x:v>3.2</x:v>
      </x:c>
      <x:c r="H27" s="20" t="str">
        <x:v>公式预览</x:v>
      </x:c>
      <x:c r="I27" s="87"/>
      <x:c r="J27" s="87"/>
    </x:row>
    <x:row r="28">
      <x:c r="A28" s="20" t="n">
        <x:v>11</x:v>
      </x:c>
      <x:c r="B28" s="20" t="n">
        <x:v>10</x:v>
      </x:c>
      <x:c r="C28" s="56" t="n">
        <x:f>IF(C27="","",IF(C27+G27&gt;=$B$8,"",C27+G27))</x:f>
        <x:v>40</x:v>
      </x:c>
      <x:c r="D28" s="78" t="n">
        <x:f>IF(C28="","",MOD(B28,$B$12))</x:f>
        <x:v>0</x:v>
      </x:c>
      <x:c r="E28" s="78" t="str">
        <x:f>IF(C28="","",IF(D28=2,"fast_guest",IF(D28=4,"ranged_guest","basic_guest")))</x:f>
        <x:v>basic_guest</x:v>
      </x:c>
      <x:c r="F28" s="78" t="str">
        <x:f>IF(C28="","",IF(MOD(B28,$B$13)=$B$13-1,IF(D28=4,"basic_guest","fast_guest"),""))</x:f>
      </x:c>
      <x:c r="G28" s="56" t="n">
        <x:f>IF(C28="","",IF(C28&lt;$B$10,$B$9,$B$11))</x:f>
        <x:v>3.2</x:v>
      </x:c>
      <x:c r="H28" s="20" t="str">
        <x:v>公式预览</x:v>
      </x:c>
      <x:c r="I28" s="87"/>
      <x:c r="J28" s="87"/>
    </x:row>
    <x:row r="29">
      <x:c r="A29" s="20" t="n">
        <x:v>12</x:v>
      </x:c>
      <x:c r="B29" s="20" t="n">
        <x:v>11</x:v>
      </x:c>
      <x:c r="C29" s="56" t="n">
        <x:f>IF(C28="","",IF(C28+G28&gt;=$B$8,"",C28+G28))</x:f>
        <x:v>43.2</x:v>
      </x:c>
      <x:c r="D29" s="78" t="n">
        <x:f>IF(C29="","",MOD(B29,$B$12))</x:f>
        <x:v>1</x:v>
      </x:c>
      <x:c r="E29" s="78" t="str">
        <x:f>IF(C29="","",IF(D29=2,"fast_guest",IF(D29=4,"ranged_guest","basic_guest")))</x:f>
        <x:v>basic_guest</x:v>
      </x:c>
      <x:c r="F29" s="78" t="str">
        <x:f>IF(C29="","",IF(MOD(B29,$B$13)=$B$13-1,IF(D29=4,"basic_guest","fast_guest"),""))</x:f>
        <x:v>fast_guest</x:v>
      </x:c>
      <x:c r="G29" s="56" t="n">
        <x:f>IF(C29="","",IF(C29&lt;$B$10,$B$9,$B$11))</x:f>
        <x:v>3.2</x:v>
      </x:c>
      <x:c r="H29" s="20" t="str">
        <x:v>公式预览</x:v>
      </x:c>
      <x:c r="I29" s="87"/>
      <x:c r="J29" s="87"/>
    </x:row>
    <x:row r="30">
      <x:c r="A30" s="20" t="n">
        <x:v>13</x:v>
      </x:c>
      <x:c r="B30" s="20" t="n">
        <x:v>12</x:v>
      </x:c>
      <x:c r="C30" s="56" t="n">
        <x:f>IF(C29="","",IF(C29+G29&gt;=$B$8,"",C29+G29))</x:f>
        <x:v>46.400000000000006</x:v>
      </x:c>
      <x:c r="D30" s="78" t="n">
        <x:f>IF(C30="","",MOD(B30,$B$12))</x:f>
        <x:v>2</x:v>
      </x:c>
      <x:c r="E30" s="78" t="str">
        <x:f>IF(C30="","",IF(D30=2,"fast_guest",IF(D30=4,"ranged_guest","basic_guest")))</x:f>
        <x:v>fast_guest</x:v>
      </x:c>
      <x:c r="F30" s="78" t="str">
        <x:f>IF(C30="","",IF(MOD(B30,$B$13)=$B$13-1,IF(D30=4,"basic_guest","fast_guest"),""))</x:f>
      </x:c>
      <x:c r="G30" s="56" t="n">
        <x:f>IF(C30="","",IF(C30&lt;$B$10,$B$9,$B$11))</x:f>
        <x:v>3.2</x:v>
      </x:c>
      <x:c r="H30" s="20" t="str">
        <x:v>公式预览</x:v>
      </x:c>
      <x:c r="I30" s="87"/>
      <x:c r="J30" s="87"/>
    </x:row>
    <x:row r="31">
      <x:c r="A31" s="20" t="n">
        <x:v>14</x:v>
      </x:c>
      <x:c r="B31" s="20" t="n">
        <x:v>13</x:v>
      </x:c>
      <x:c r="C31" s="56" t="n">
        <x:f>IF(C30="","",IF(C30+G30&gt;=$B$8,"",C30+G30))</x:f>
        <x:v>49.60000000000001</x:v>
      </x:c>
      <x:c r="D31" s="78" t="n">
        <x:f>IF(C31="","",MOD(B31,$B$12))</x:f>
        <x:v>3</x:v>
      </x:c>
      <x:c r="E31" s="78" t="str">
        <x:f>IF(C31="","",IF(D31=2,"fast_guest",IF(D31=4,"ranged_guest","basic_guest")))</x:f>
        <x:v>basic_guest</x:v>
      </x:c>
      <x:c r="F31" s="78" t="str">
        <x:f>IF(C31="","",IF(MOD(B31,$B$13)=$B$13-1,IF(D31=4,"basic_guest","fast_guest"),""))</x:f>
      </x:c>
      <x:c r="G31" s="56" t="n">
        <x:f>IF(C31="","",IF(C31&lt;$B$10,$B$9,$B$11))</x:f>
        <x:v>3.2</x:v>
      </x:c>
      <x:c r="H31" s="20" t="str">
        <x:v>公式预览</x:v>
      </x:c>
      <x:c r="I31" s="87"/>
      <x:c r="J31" s="87"/>
    </x:row>
    <x:row r="32">
      <x:c r="A32" s="20" t="n">
        <x:v>15</x:v>
      </x:c>
      <x:c r="B32" s="20" t="n">
        <x:v>14</x:v>
      </x:c>
      <x:c r="C32" s="56" t="n">
        <x:f>IF(C31="","",IF(C31+G31&gt;=$B$8,"",C31+G31))</x:f>
        <x:v>52.80000000000001</x:v>
      </x:c>
      <x:c r="D32" s="78" t="n">
        <x:f>IF(C32="","",MOD(B32,$B$12))</x:f>
        <x:v>4</x:v>
      </x:c>
      <x:c r="E32" s="78" t="str">
        <x:f>IF(C32="","",IF(D32=2,"fast_guest",IF(D32=4,"ranged_guest","basic_guest")))</x:f>
        <x:v>ranged_guest</x:v>
      </x:c>
      <x:c r="F32" s="78" t="str">
        <x:f>IF(C32="","",IF(MOD(B32,$B$13)=$B$13-1,IF(D32=4,"basic_guest","fast_guest"),""))</x:f>
      </x:c>
      <x:c r="G32" s="56" t="n">
        <x:f>IF(C32="","",IF(C32&lt;$B$10,$B$9,$B$11))</x:f>
        <x:v>3.2</x:v>
      </x:c>
      <x:c r="H32" s="20" t="str">
        <x:v>公式预览</x:v>
      </x:c>
      <x:c r="I32" s="87"/>
      <x:c r="J32" s="87"/>
    </x:row>
    <x:row r="33">
      <x:c r="A33" s="20" t="n">
        <x:v>16</x:v>
      </x:c>
      <x:c r="B33" s="20" t="n">
        <x:v>15</x:v>
      </x:c>
      <x:c r="C33" s="56" t="n">
        <x:f>IF(C32="","",IF(C32+G32&gt;=$B$8,"",C32+G32))</x:f>
        <x:v>56.000000000000014</x:v>
      </x:c>
      <x:c r="D33" s="78" t="n">
        <x:f>IF(C33="","",MOD(B33,$B$12))</x:f>
        <x:v>0</x:v>
      </x:c>
      <x:c r="E33" s="78" t="str">
        <x:f>IF(C33="","",IF(D33=2,"fast_guest",IF(D33=4,"ranged_guest","basic_guest")))</x:f>
        <x:v>basic_guest</x:v>
      </x:c>
      <x:c r="F33" s="78" t="str">
        <x:f>IF(C33="","",IF(MOD(B33,$B$13)=$B$13-1,IF(D33=4,"basic_guest","fast_guest"),""))</x:f>
        <x:v>fast_guest</x:v>
      </x:c>
      <x:c r="G33" s="56" t="n">
        <x:f>IF(C33="","",IF(C33&lt;$B$10,$B$9,$B$11))</x:f>
        <x:v>3.2</x:v>
      </x:c>
      <x:c r="H33" s="20" t="str">
        <x:v>公式预览</x:v>
      </x:c>
      <x:c r="I33" s="87"/>
      <x:c r="J33" s="87"/>
    </x:row>
    <x:row r="34">
      <x:c r="A34" s="20" t="n">
        <x:v>17</x:v>
      </x:c>
      <x:c r="B34" s="20" t="n">
        <x:v>16</x:v>
      </x:c>
      <x:c r="C34" s="56" t="n">
        <x:f>IF(C33="","",IF(C33+G33&gt;=$B$8,"",C33+G33))</x:f>
        <x:v>59.20000000000002</x:v>
      </x:c>
      <x:c r="D34" s="78" t="n">
        <x:f>IF(C34="","",MOD(B34,$B$12))</x:f>
        <x:v>1</x:v>
      </x:c>
      <x:c r="E34" s="78" t="str">
        <x:f>IF(C34="","",IF(D34=2,"fast_guest",IF(D34=4,"ranged_guest","basic_guest")))</x:f>
        <x:v>basic_guest</x:v>
      </x:c>
      <x:c r="F34" s="78" t="str">
        <x:f>IF(C34="","",IF(MOD(B34,$B$13)=$B$13-1,IF(D34=4,"basic_guest","fast_guest"),""))</x:f>
      </x:c>
      <x:c r="G34" s="56" t="n">
        <x:f>IF(C34="","",IF(C34&lt;$B$10,$B$9,$B$11))</x:f>
        <x:v>3.2</x:v>
      </x:c>
      <x:c r="H34" s="20" t="str">
        <x:v>公式预览</x:v>
      </x:c>
      <x:c r="I34" s="87"/>
      <x:c r="J34" s="87"/>
    </x:row>
    <x:row r="35">
      <x:c r="A35" s="20" t="n">
        <x:v>18</x:v>
      </x:c>
      <x:c r="B35" s="20" t="n">
        <x:v>17</x:v>
      </x:c>
      <x:c r="C35" s="56" t="n">
        <x:f>IF(C34="","",IF(C34+G34&gt;=$B$8,"",C34+G34))</x:f>
        <x:v>62.40000000000002</x:v>
      </x:c>
      <x:c r="D35" s="78" t="n">
        <x:f>IF(C35="","",MOD(B35,$B$12))</x:f>
        <x:v>2</x:v>
      </x:c>
      <x:c r="E35" s="78" t="str">
        <x:f>IF(C35="","",IF(D35=2,"fast_guest",IF(D35=4,"ranged_guest","basic_guest")))</x:f>
        <x:v>fast_guest</x:v>
      </x:c>
      <x:c r="F35" s="78" t="str">
        <x:f>IF(C35="","",IF(MOD(B35,$B$13)=$B$13-1,IF(D35=4,"basic_guest","fast_guest"),""))</x:f>
      </x:c>
      <x:c r="G35" s="56" t="n">
        <x:f>IF(C35="","",IF(C35&lt;$B$10,$B$9,$B$11))</x:f>
        <x:v>3.2</x:v>
      </x:c>
      <x:c r="H35" s="20" t="str">
        <x:v>公式预览</x:v>
      </x:c>
      <x:c r="I35" s="87"/>
      <x:c r="J35" s="87"/>
    </x:row>
    <x:row r="36">
      <x:c r="A36" s="20" t="n">
        <x:v>19</x:v>
      </x:c>
      <x:c r="B36" s="20" t="n">
        <x:v>18</x:v>
      </x:c>
      <x:c r="C36" s="56" t="n">
        <x:f>IF(C35="","",IF(C35+G35&gt;=$B$8,"",C35+G35))</x:f>
        <x:v>65.60000000000002</x:v>
      </x:c>
      <x:c r="D36" s="78" t="n">
        <x:f>IF(C36="","",MOD(B36,$B$12))</x:f>
        <x:v>3</x:v>
      </x:c>
      <x:c r="E36" s="78" t="str">
        <x:f>IF(C36="","",IF(D36=2,"fast_guest",IF(D36=4,"ranged_guest","basic_guest")))</x:f>
        <x:v>basic_guest</x:v>
      </x:c>
      <x:c r="F36" s="78" t="str">
        <x:f>IF(C36="","",IF(MOD(B36,$B$13)=$B$13-1,IF(D36=4,"basic_guest","fast_guest"),""))</x:f>
      </x:c>
      <x:c r="G36" s="56" t="n">
        <x:f>IF(C36="","",IF(C36&lt;$B$10,$B$9,$B$11))</x:f>
        <x:v>3.2</x:v>
      </x:c>
      <x:c r="H36" s="20" t="str">
        <x:v>公式预览</x:v>
      </x:c>
      <x:c r="I36" s="87"/>
      <x:c r="J36" s="87"/>
    </x:row>
    <x:row r="37">
      <x:c r="A37" s="20" t="n">
        <x:v>20</x:v>
      </x:c>
      <x:c r="B37" s="20" t="n">
        <x:v>19</x:v>
      </x:c>
      <x:c r="C37" s="56" t="n">
        <x:f>IF(C36="","",IF(C36+G36&gt;=$B$8,"",C36+G36))</x:f>
        <x:v>68.80000000000003</x:v>
      </x:c>
      <x:c r="D37" s="78" t="n">
        <x:f>IF(C37="","",MOD(B37,$B$12))</x:f>
        <x:v>4</x:v>
      </x:c>
      <x:c r="E37" s="78" t="str">
        <x:f>IF(C37="","",IF(D37=2,"fast_guest",IF(D37=4,"ranged_guest","basic_guest")))</x:f>
        <x:v>ranged_guest</x:v>
      </x:c>
      <x:c r="F37" s="78" t="str">
        <x:f>IF(C37="","",IF(MOD(B37,$B$13)=$B$13-1,IF(D37=4,"basic_guest","fast_guest"),""))</x:f>
        <x:v>basic_guest</x:v>
      </x:c>
      <x:c r="G37" s="56" t="n">
        <x:f>IF(C37="","",IF(C37&lt;$B$10,$B$9,$B$11))</x:f>
        <x:v>3.2</x:v>
      </x:c>
      <x:c r="H37" s="20" t="str">
        <x:v>公式预览</x:v>
      </x:c>
      <x:c r="I37" s="87"/>
      <x:c r="J37" s="87"/>
    </x:row>
    <x:row r="38">
      <x:c r="A38" s="20" t="n">
        <x:v>21</x:v>
      </x:c>
      <x:c r="B38" s="20" t="n">
        <x:v>20</x:v>
      </x:c>
      <x:c r="C38" s="56" t="n">
        <x:f>IF(C37="","",IF(C37+G37&gt;=$B$8,"",C37+G37))</x:f>
        <x:v>72.00000000000003</x:v>
      </x:c>
      <x:c r="D38" s="78" t="n">
        <x:f>IF(C38="","",MOD(B38,$B$12))</x:f>
        <x:v>0</x:v>
      </x:c>
      <x:c r="E38" s="78" t="str">
        <x:f>IF(C38="","",IF(D38=2,"fast_guest",IF(D38=4,"ranged_guest","basic_guest")))</x:f>
        <x:v>basic_guest</x:v>
      </x:c>
      <x:c r="F38" s="78" t="str">
        <x:f>IF(C38="","",IF(MOD(B38,$B$13)=$B$13-1,IF(D38=4,"basic_guest","fast_guest"),""))</x:f>
      </x:c>
      <x:c r="G38" s="56" t="n">
        <x:f>IF(C38="","",IF(C38&lt;$B$10,$B$9,$B$11))</x:f>
        <x:v>3.2</x:v>
      </x:c>
      <x:c r="H38" s="20" t="str">
        <x:v>公式预览</x:v>
      </x:c>
      <x:c r="I38" s="87"/>
      <x:c r="J38" s="87"/>
    </x:row>
    <x:row r="39">
      <x:c r="A39" s="20" t="n">
        <x:v>22</x:v>
      </x:c>
      <x:c r="B39" s="20" t="n">
        <x:v>21</x:v>
      </x:c>
      <x:c r="C39" s="56" t="n">
        <x:f>IF(C38="","",IF(C38+G38&gt;=$B$8,"",C38+G38))</x:f>
        <x:v>75.20000000000003</x:v>
      </x:c>
      <x:c r="D39" s="78" t="n">
        <x:f>IF(C39="","",MOD(B39,$B$12))</x:f>
        <x:v>1</x:v>
      </x:c>
      <x:c r="E39" s="78" t="str">
        <x:f>IF(C39="","",IF(D39=2,"fast_guest",IF(D39=4,"ranged_guest","basic_guest")))</x:f>
        <x:v>basic_guest</x:v>
      </x:c>
      <x:c r="F39" s="78" t="str">
        <x:f>IF(C39="","",IF(MOD(B39,$B$13)=$B$13-1,IF(D39=4,"basic_guest","fast_guest"),""))</x:f>
      </x:c>
      <x:c r="G39" s="56" t="n">
        <x:f>IF(C39="","",IF(C39&lt;$B$10,$B$9,$B$11))</x:f>
        <x:v>3.2</x:v>
      </x:c>
      <x:c r="H39" s="20" t="str">
        <x:v>公式预览</x:v>
      </x:c>
      <x:c r="I39" s="87"/>
      <x:c r="J39" s="87"/>
    </x:row>
    <x:row r="40">
      <x:c r="A40" s="20" t="n">
        <x:v>23</x:v>
      </x:c>
      <x:c r="B40" s="20" t="n">
        <x:v>22</x:v>
      </x:c>
      <x:c r="C40" s="56" t="n">
        <x:f>IF(C39="","",IF(C39+G39&gt;=$B$8,"",C39+G39))</x:f>
        <x:v>78.40000000000003</x:v>
      </x:c>
      <x:c r="D40" s="78" t="n">
        <x:f>IF(C40="","",MOD(B40,$B$12))</x:f>
        <x:v>2</x:v>
      </x:c>
      <x:c r="E40" s="78" t="str">
        <x:f>IF(C40="","",IF(D40=2,"fast_guest",IF(D40=4,"ranged_guest","basic_guest")))</x:f>
        <x:v>fast_guest</x:v>
      </x:c>
      <x:c r="F40" s="78" t="str">
        <x:f>IF(C40="","",IF(MOD(B40,$B$13)=$B$13-1,IF(D40=4,"basic_guest","fast_guest"),""))</x:f>
      </x:c>
      <x:c r="G40" s="56" t="n">
        <x:f>IF(C40="","",IF(C40&lt;$B$10,$B$9,$B$11))</x:f>
        <x:v>2.8</x:v>
      </x:c>
      <x:c r="H40" s="20" t="str">
        <x:v>公式预览</x:v>
      </x:c>
      <x:c r="I40" s="87"/>
      <x:c r="J40" s="87"/>
    </x:row>
    <x:row r="41">
      <x:c r="A41" s="20" t="n">
        <x:v>24</x:v>
      </x:c>
      <x:c r="B41" s="20" t="n">
        <x:v>23</x:v>
      </x:c>
      <x:c r="C41" s="56" t="n">
        <x:f>IF(C40="","",IF(C40+G40&gt;=$B$8,"",C40+G40))</x:f>
        <x:v>81.20000000000003</x:v>
      </x:c>
      <x:c r="D41" s="78" t="n">
        <x:f>IF(C41="","",MOD(B41,$B$12))</x:f>
        <x:v>3</x:v>
      </x:c>
      <x:c r="E41" s="78" t="str">
        <x:f>IF(C41="","",IF(D41=2,"fast_guest",IF(D41=4,"ranged_guest","basic_guest")))</x:f>
        <x:v>basic_guest</x:v>
      </x:c>
      <x:c r="F41" s="78" t="str">
        <x:f>IF(C41="","",IF(MOD(B41,$B$13)=$B$13-1,IF(D41=4,"basic_guest","fast_guest"),""))</x:f>
        <x:v>fast_guest</x:v>
      </x:c>
      <x:c r="G41" s="56" t="n">
        <x:f>IF(C41="","",IF(C41&lt;$B$10,$B$9,$B$11))</x:f>
        <x:v>2.8</x:v>
      </x:c>
      <x:c r="H41" s="20" t="str">
        <x:v>公式预览</x:v>
      </x:c>
      <x:c r="I41" s="87"/>
      <x:c r="J41" s="87"/>
    </x:row>
    <x:row r="42">
      <x:c r="A42" s="20" t="n">
        <x:v>25</x:v>
      </x:c>
      <x:c r="B42" s="20" t="n">
        <x:v>24</x:v>
      </x:c>
      <x:c r="C42" s="56" t="n">
        <x:f>IF(C41="","",IF(C41+G41&gt;=$B$8,"",C41+G41))</x:f>
        <x:v>84.00000000000003</x:v>
      </x:c>
      <x:c r="D42" s="78" t="n">
        <x:f>IF(C42="","",MOD(B42,$B$12))</x:f>
        <x:v>4</x:v>
      </x:c>
      <x:c r="E42" s="78" t="str">
        <x:f>IF(C42="","",IF(D42=2,"fast_guest",IF(D42=4,"ranged_guest","basic_guest")))</x:f>
        <x:v>ranged_guest</x:v>
      </x:c>
      <x:c r="F42" s="78" t="str">
        <x:f>IF(C42="","",IF(MOD(B42,$B$13)=$B$13-1,IF(D42=4,"basic_guest","fast_guest"),""))</x:f>
      </x:c>
      <x:c r="G42" s="56" t="n">
        <x:f>IF(C42="","",IF(C42&lt;$B$10,$B$9,$B$11))</x:f>
        <x:v>2.8</x:v>
      </x:c>
      <x:c r="H42" s="20" t="str">
        <x:v>公式预览</x:v>
      </x:c>
      <x:c r="I42" s="87"/>
      <x:c r="J42" s="87"/>
    </x:row>
    <x:row r="43">
      <x:c r="A43" s="20" t="n">
        <x:v>26</x:v>
      </x:c>
      <x:c r="B43" s="20" t="n">
        <x:v>25</x:v>
      </x:c>
      <x:c r="C43" s="56" t="n">
        <x:f>IF(C42="","",IF(C42+G42&gt;=$B$8,"",C42+G42))</x:f>
        <x:v>86.80000000000003</x:v>
      </x:c>
      <x:c r="D43" s="78" t="n">
        <x:f>IF(C43="","",MOD(B43,$B$12))</x:f>
        <x:v>0</x:v>
      </x:c>
      <x:c r="E43" s="78" t="str">
        <x:f>IF(C43="","",IF(D43=2,"fast_guest",IF(D43=4,"ranged_guest","basic_guest")))</x:f>
        <x:v>basic_guest</x:v>
      </x:c>
      <x:c r="F43" s="78" t="str">
        <x:f>IF(C43="","",IF(MOD(B43,$B$13)=$B$13-1,IF(D43=4,"basic_guest","fast_guest"),""))</x:f>
      </x:c>
      <x:c r="G43" s="56" t="n">
        <x:f>IF(C43="","",IF(C43&lt;$B$10,$B$9,$B$11))</x:f>
        <x:v>2.8</x:v>
      </x:c>
      <x:c r="H43" s="20" t="str">
        <x:v>公式预览</x:v>
      </x:c>
      <x:c r="I43" s="87"/>
      <x:c r="J43" s="87"/>
    </x:row>
    <x:row r="44">
      <x:c r="A44" s="20" t="n">
        <x:v>27</x:v>
      </x:c>
      <x:c r="B44" s="20" t="n">
        <x:v>26</x:v>
      </x:c>
      <x:c r="C44" s="56" t="n">
        <x:f>IF(C43="","",IF(C43+G43&gt;=$B$8,"",C43+G43))</x:f>
        <x:v>89.60000000000002</x:v>
      </x:c>
      <x:c r="D44" s="78" t="n">
        <x:f>IF(C44="","",MOD(B44,$B$12))</x:f>
        <x:v>1</x:v>
      </x:c>
      <x:c r="E44" s="78" t="str">
        <x:f>IF(C44="","",IF(D44=2,"fast_guest",IF(D44=4,"ranged_guest","basic_guest")))</x:f>
        <x:v>basic_guest</x:v>
      </x:c>
      <x:c r="F44" s="78" t="str">
        <x:f>IF(C44="","",IF(MOD(B44,$B$13)=$B$13-1,IF(D44=4,"basic_guest","fast_guest"),""))</x:f>
      </x:c>
      <x:c r="G44" s="56" t="n">
        <x:f>IF(C44="","",IF(C44&lt;$B$10,$B$9,$B$11))</x:f>
        <x:v>2.8</x:v>
      </x:c>
      <x:c r="H44" s="20" t="str">
        <x:v>公式预览</x:v>
      </x:c>
      <x:c r="I44" s="87"/>
      <x:c r="J44" s="87"/>
    </x:row>
    <x:row r="45">
      <x:c r="A45" s="20" t="n">
        <x:v>28</x:v>
      </x:c>
      <x:c r="B45" s="20" t="n">
        <x:v>27</x:v>
      </x:c>
      <x:c r="C45" s="56" t="n">
        <x:f>IF(C44="","",IF(C44+G44&gt;=$B$8,"",C44+G44))</x:f>
        <x:v>92.40000000000002</x:v>
      </x:c>
      <x:c r="D45" s="78" t="n">
        <x:f>IF(C45="","",MOD(B45,$B$12))</x:f>
        <x:v>2</x:v>
      </x:c>
      <x:c r="E45" s="78" t="str">
        <x:f>IF(C45="","",IF(D45=2,"fast_guest",IF(D45=4,"ranged_guest","basic_guest")))</x:f>
        <x:v>fast_guest</x:v>
      </x:c>
      <x:c r="F45" s="78" t="str">
        <x:f>IF(C45="","",IF(MOD(B45,$B$13)=$B$13-1,IF(D45=4,"basic_guest","fast_guest"),""))</x:f>
        <x:v>fast_guest</x:v>
      </x:c>
      <x:c r="G45" s="56" t="n">
        <x:f>IF(C45="","",IF(C45&lt;$B$10,$B$9,$B$11))</x:f>
        <x:v>2.8</x:v>
      </x:c>
      <x:c r="H45" s="20" t="str">
        <x:v>公式预览</x:v>
      </x:c>
      <x:c r="I45" s="87"/>
      <x:c r="J45" s="87"/>
    </x:row>
    <x:row r="46">
      <x:c r="A46" s="20" t="n">
        <x:v>29</x:v>
      </x:c>
      <x:c r="B46" s="20" t="n">
        <x:v>28</x:v>
      </x:c>
      <x:c r="C46" s="56" t="n">
        <x:f>IF(C45="","",IF(C45+G45&gt;=$B$8,"",C45+G45))</x:f>
        <x:v>95.20000000000002</x:v>
      </x:c>
      <x:c r="D46" s="78" t="n">
        <x:f>IF(C46="","",MOD(B46,$B$12))</x:f>
        <x:v>3</x:v>
      </x:c>
      <x:c r="E46" s="78" t="str">
        <x:f>IF(C46="","",IF(D46=2,"fast_guest",IF(D46=4,"ranged_guest","basic_guest")))</x:f>
        <x:v>basic_guest</x:v>
      </x:c>
      <x:c r="F46" s="78" t="str">
        <x:f>IF(C46="","",IF(MOD(B46,$B$13)=$B$13-1,IF(D46=4,"basic_guest","fast_guest"),""))</x:f>
      </x:c>
      <x:c r="G46" s="56" t="n">
        <x:f>IF(C46="","",IF(C46&lt;$B$10,$B$9,$B$11))</x:f>
        <x:v>2.8</x:v>
      </x:c>
      <x:c r="H46" s="20" t="str">
        <x:v>公式预览</x:v>
      </x:c>
      <x:c r="I46" s="87"/>
      <x:c r="J46" s="87"/>
    </x:row>
    <x:row r="47">
      <x:c r="A47" s="20" t="n">
        <x:v>30</x:v>
      </x:c>
      <x:c r="B47" s="20" t="n">
        <x:v>29</x:v>
      </x:c>
      <x:c r="C47" s="56" t="n">
        <x:f>IF(C46="","",IF(C46+G46&gt;=$B$8,"",C46+G46))</x:f>
        <x:v>98.00000000000001</x:v>
      </x:c>
      <x:c r="D47" s="78" t="n">
        <x:f>IF(C47="","",MOD(B47,$B$12))</x:f>
        <x:v>4</x:v>
      </x:c>
      <x:c r="E47" s="78" t="str">
        <x:f>IF(C47="","",IF(D47=2,"fast_guest",IF(D47=4,"ranged_guest","basic_guest")))</x:f>
        <x:v>ranged_guest</x:v>
      </x:c>
      <x:c r="F47" s="78" t="str">
        <x:f>IF(C47="","",IF(MOD(B47,$B$13)=$B$13-1,IF(D47=4,"basic_guest","fast_guest"),""))</x:f>
      </x:c>
      <x:c r="G47" s="56" t="n">
        <x:f>IF(C47="","",IF(C47&lt;$B$10,$B$9,$B$11))</x:f>
        <x:v>2.8</x:v>
      </x:c>
      <x:c r="H47" s="20" t="str">
        <x:v>公式预览</x:v>
      </x:c>
      <x:c r="I47" s="87"/>
      <x:c r="J47" s="87"/>
    </x:row>
    <x:row r="48">
      <x:c r="A48" s="20" t="n">
        <x:v>31</x:v>
      </x:c>
      <x:c r="B48" s="20" t="n">
        <x:v>30</x:v>
      </x:c>
      <x:c r="C48" s="56" t="n">
        <x:f>IF(C47="","",IF(C47+G47&gt;=$B$8,"",C47+G47))</x:f>
        <x:v>100.80000000000001</x:v>
      </x:c>
      <x:c r="D48" s="78" t="n">
        <x:f>IF(C48="","",MOD(B48,$B$12))</x:f>
        <x:v>0</x:v>
      </x:c>
      <x:c r="E48" s="78" t="str">
        <x:f>IF(C48="","",IF(D48=2,"fast_guest",IF(D48=4,"ranged_guest","basic_guest")))</x:f>
        <x:v>basic_guest</x:v>
      </x:c>
      <x:c r="F48" s="78" t="str">
        <x:f>IF(C48="","",IF(MOD(B48,$B$13)=$B$13-1,IF(D48=4,"basic_guest","fast_guest"),""))</x:f>
      </x:c>
      <x:c r="G48" s="56" t="n">
        <x:f>IF(C48="","",IF(C48&lt;$B$10,$B$9,$B$11))</x:f>
        <x:v>2.8</x:v>
      </x:c>
      <x:c r="H48" s="20" t="str">
        <x:v>公式预览</x:v>
      </x:c>
      <x:c r="I48" s="87"/>
      <x:c r="J48" s="87"/>
    </x:row>
    <x:row r="49">
      <x:c r="A49" s="20" t="n">
        <x:v>32</x:v>
      </x:c>
      <x:c r="B49" s="20" t="n">
        <x:v>31</x:v>
      </x:c>
      <x:c r="C49" s="56" t="n">
        <x:f>IF(C48="","",IF(C48+G48&gt;=$B$8,"",C48+G48))</x:f>
        <x:v>103.60000000000001</x:v>
      </x:c>
      <x:c r="D49" s="78" t="n">
        <x:f>IF(C49="","",MOD(B49,$B$12))</x:f>
        <x:v>1</x:v>
      </x:c>
      <x:c r="E49" s="78" t="str">
        <x:f>IF(C49="","",IF(D49=2,"fast_guest",IF(D49=4,"ranged_guest","basic_guest")))</x:f>
        <x:v>basic_guest</x:v>
      </x:c>
      <x:c r="F49" s="78" t="str">
        <x:f>IF(C49="","",IF(MOD(B49,$B$13)=$B$13-1,IF(D49=4,"basic_guest","fast_guest"),""))</x:f>
        <x:v>fast_guest</x:v>
      </x:c>
      <x:c r="G49" s="56" t="n">
        <x:f>IF(C49="","",IF(C49&lt;$B$10,$B$9,$B$11))</x:f>
        <x:v>2.8</x:v>
      </x:c>
      <x:c r="H49" s="20" t="str">
        <x:v>公式预览</x:v>
      </x:c>
      <x:c r="I49" s="87"/>
      <x:c r="J49" s="87"/>
    </x:row>
    <x:row r="50">
      <x:c r="A50" s="20" t="n">
        <x:v>33</x:v>
      </x:c>
      <x:c r="B50" s="20" t="n">
        <x:v>32</x:v>
      </x:c>
      <x:c r="C50" s="56" t="n">
        <x:f>IF(C49="","",IF(C49+G49&gt;=$B$8,"",C49+G49))</x:f>
        <x:v>106.4</x:v>
      </x:c>
      <x:c r="D50" s="78" t="n">
        <x:f>IF(C50="","",MOD(B50,$B$12))</x:f>
        <x:v>2</x:v>
      </x:c>
      <x:c r="E50" s="78" t="str">
        <x:f>IF(C50="","",IF(D50=2,"fast_guest",IF(D50=4,"ranged_guest","basic_guest")))</x:f>
        <x:v>fast_guest</x:v>
      </x:c>
      <x:c r="F50" s="78" t="str">
        <x:f>IF(C50="","",IF(MOD(B50,$B$13)=$B$13-1,IF(D50=4,"basic_guest","fast_guest"),""))</x:f>
      </x:c>
      <x:c r="G50" s="56" t="n">
        <x:f>IF(C50="","",IF(C50&lt;$B$10,$B$9,$B$11))</x:f>
        <x:v>2.8</x:v>
      </x:c>
      <x:c r="H50" s="20" t="str">
        <x:v>公式预览</x:v>
      </x:c>
      <x:c r="I50" s="87"/>
      <x:c r="J50" s="87"/>
    </x:row>
    <x:row r="51">
      <x:c r="A51" s="20" t="n">
        <x:v>34</x:v>
      </x:c>
      <x:c r="B51" s="20" t="n">
        <x:v>33</x:v>
      </x:c>
      <x:c r="C51" s="56" t="n">
        <x:f>IF(C50="","",IF(C50+G50&gt;=$B$8,"",C50+G50))</x:f>
        <x:v>109.2</x:v>
      </x:c>
      <x:c r="D51" s="78" t="n">
        <x:f>IF(C51="","",MOD(B51,$B$12))</x:f>
        <x:v>3</x:v>
      </x:c>
      <x:c r="E51" s="78" t="str">
        <x:f>IF(C51="","",IF(D51=2,"fast_guest",IF(D51=4,"ranged_guest","basic_guest")))</x:f>
        <x:v>basic_guest</x:v>
      </x:c>
      <x:c r="F51" s="78" t="str">
        <x:f>IF(C51="","",IF(MOD(B51,$B$13)=$B$13-1,IF(D51=4,"basic_guest","fast_guest"),""))</x:f>
      </x:c>
      <x:c r="G51" s="56" t="n">
        <x:f>IF(C51="","",IF(C51&lt;$B$10,$B$9,$B$11))</x:f>
        <x:v>2.8</x:v>
      </x:c>
      <x:c r="H51" s="20" t="str">
        <x:v>公式预览</x:v>
      </x:c>
      <x:c r="I51" s="87"/>
      <x:c r="J51" s="87"/>
    </x:row>
    <x:row r="52">
      <x:c r="A52" s="20" t="n">
        <x:v>35</x:v>
      </x:c>
      <x:c r="B52" s="20" t="n">
        <x:v>34</x:v>
      </x:c>
      <x:c r="C52" s="56" t="n">
        <x:f>IF(C51="","",IF(C51+G51&gt;=$B$8,"",C51+G51))</x:f>
        <x:v>112</x:v>
      </x:c>
      <x:c r="D52" s="78" t="n">
        <x:f>IF(C52="","",MOD(B52,$B$12))</x:f>
        <x:v>4</x:v>
      </x:c>
      <x:c r="E52" s="78" t="str">
        <x:f>IF(C52="","",IF(D52=2,"fast_guest",IF(D52=4,"ranged_guest","basic_guest")))</x:f>
        <x:v>ranged_guest</x:v>
      </x:c>
      <x:c r="F52" s="78" t="str">
        <x:f>IF(C52="","",IF(MOD(B52,$B$13)=$B$13-1,IF(D52=4,"basic_guest","fast_guest"),""))</x:f>
      </x:c>
      <x:c r="G52" s="56" t="n">
        <x:f>IF(C52="","",IF(C52&lt;$B$10,$B$9,$B$11))</x:f>
        <x:v>2.8</x:v>
      </x:c>
      <x:c r="H52" s="20" t="str">
        <x:v>公式预览</x:v>
      </x:c>
      <x:c r="I52" s="87"/>
      <x:c r="J52" s="87"/>
    </x:row>
    <x:row r="53">
      <x:c r="A53" s="20" t="n">
        <x:v>36</x:v>
      </x:c>
      <x:c r="B53" s="20" t="n">
        <x:v>35</x:v>
      </x:c>
      <x:c r="C53" s="56" t="n">
        <x:f>IF(C52="","",IF(C52+G52&gt;=$B$8,"",C52+G52))</x:f>
        <x:v>114.8</x:v>
      </x:c>
      <x:c r="D53" s="78" t="n">
        <x:f>IF(C53="","",MOD(B53,$B$12))</x:f>
        <x:v>0</x:v>
      </x:c>
      <x:c r="E53" s="78" t="str">
        <x:f>IF(C53="","",IF(D53=2,"fast_guest",IF(D53=4,"ranged_guest","basic_guest")))</x:f>
        <x:v>basic_guest</x:v>
      </x:c>
      <x:c r="F53" s="78" t="str">
        <x:f>IF(C53="","",IF(MOD(B53,$B$13)=$B$13-1,IF(D53=4,"basic_guest","fast_guest"),""))</x:f>
        <x:v>fast_guest</x:v>
      </x:c>
      <x:c r="G53" s="56" t="n">
        <x:f>IF(C53="","",IF(C53&lt;$B$10,$B$9,$B$11))</x:f>
        <x:v>2.8</x:v>
      </x:c>
      <x:c r="H53" s="20" t="str">
        <x:v>公式预览</x:v>
      </x:c>
      <x:c r="I53" s="87"/>
      <x:c r="J53" s="87"/>
    </x:row>
    <x:row r="54">
      <x:c r="A54" s="20" t="n">
        <x:v>37</x:v>
      </x:c>
      <x:c r="B54" s="20" t="n">
        <x:v>36</x:v>
      </x:c>
      <x:c r="C54" s="56" t="n">
        <x:f>IF(C53="","",IF(C53+G53&gt;=$B$8,"",C53+G53))</x:f>
        <x:v>117.6</x:v>
      </x:c>
      <x:c r="D54" s="78" t="n">
        <x:f>IF(C54="","",MOD(B54,$B$12))</x:f>
        <x:v>1</x:v>
      </x:c>
      <x:c r="E54" s="78" t="str">
        <x:f>IF(C54="","",IF(D54=2,"fast_guest",IF(D54=4,"ranged_guest","basic_guest")))</x:f>
        <x:v>basic_guest</x:v>
      </x:c>
      <x:c r="F54" s="78" t="str">
        <x:f>IF(C54="","",IF(MOD(B54,$B$13)=$B$13-1,IF(D54=4,"basic_guest","fast_guest"),""))</x:f>
      </x:c>
      <x:c r="G54" s="56" t="n">
        <x:f>IF(C54="","",IF(C54&lt;$B$10,$B$9,$B$11))</x:f>
        <x:v>2.8</x:v>
      </x:c>
      <x:c r="H54" s="20" t="str">
        <x:v>公式预览</x:v>
      </x:c>
      <x:c r="I54" s="87"/>
      <x:c r="J54" s="87"/>
    </x:row>
    <x:row r="55">
      <x:c r="A55" s="20" t="n">
        <x:v>38</x:v>
      </x:c>
      <x:c r="B55" s="20" t="n">
        <x:v>37</x:v>
      </x:c>
      <x:c r="C55" s="56" t="n">
        <x:f>IF(C54="","",IF(C54+G54&gt;=$B$8,"",C54+G54))</x:f>
        <x:v>120.39999999999999</x:v>
      </x:c>
      <x:c r="D55" s="78" t="n">
        <x:f>IF(C55="","",MOD(B55,$B$12))</x:f>
        <x:v>2</x:v>
      </x:c>
      <x:c r="E55" s="78" t="str">
        <x:f>IF(C55="","",IF(D55=2,"fast_guest",IF(D55=4,"ranged_guest","basic_guest")))</x:f>
        <x:v>fast_guest</x:v>
      </x:c>
      <x:c r="F55" s="78" t="str">
        <x:f>IF(C55="","",IF(MOD(B55,$B$13)=$B$13-1,IF(D55=4,"basic_guest","fast_guest"),""))</x:f>
      </x:c>
      <x:c r="G55" s="56" t="n">
        <x:f>IF(C55="","",IF(C55&lt;$B$10,$B$9,$B$11))</x:f>
        <x:v>2.8</x:v>
      </x:c>
      <x:c r="H55" s="20" t="str">
        <x:v>公式预览</x:v>
      </x:c>
      <x:c r="I55" s="87"/>
      <x:c r="J55" s="87"/>
    </x:row>
    <x:row r="56">
      <x:c r="A56" s="20" t="n">
        <x:v>39</x:v>
      </x:c>
      <x:c r="B56" s="20" t="n">
        <x:v>38</x:v>
      </x:c>
      <x:c r="C56" s="56" t="n">
        <x:f>IF(C55="","",IF(C55+G55&gt;=$B$8,"",C55+G55))</x:f>
        <x:v>123.19999999999999</x:v>
      </x:c>
      <x:c r="D56" s="78" t="n">
        <x:f>IF(C56="","",MOD(B56,$B$12))</x:f>
        <x:v>3</x:v>
      </x:c>
      <x:c r="E56" s="78" t="str">
        <x:f>IF(C56="","",IF(D56=2,"fast_guest",IF(D56=4,"ranged_guest","basic_guest")))</x:f>
        <x:v>basic_guest</x:v>
      </x:c>
      <x:c r="F56" s="78" t="str">
        <x:f>IF(C56="","",IF(MOD(B56,$B$13)=$B$13-1,IF(D56=4,"basic_guest","fast_guest"),""))</x:f>
      </x:c>
      <x:c r="G56" s="56" t="n">
        <x:f>IF(C56="","",IF(C56&lt;$B$10,$B$9,$B$11))</x:f>
        <x:v>2.8</x:v>
      </x:c>
      <x:c r="H56" s="20" t="str">
        <x:v>公式预览</x:v>
      </x:c>
      <x:c r="I56" s="87"/>
      <x:c r="J56" s="87"/>
    </x:row>
    <x:row r="57">
      <x:c r="A57" s="20" t="n">
        <x:v>40</x:v>
      </x:c>
      <x:c r="B57" s="20" t="n">
        <x:v>39</x:v>
      </x:c>
      <x:c r="C57" s="56" t="n">
        <x:f>IF(C56="","",IF(C56+G56&gt;=$B$8,"",C56+G56))</x:f>
        <x:v>125.99999999999999</x:v>
      </x:c>
      <x:c r="D57" s="78" t="n">
        <x:f>IF(C57="","",MOD(B57,$B$12))</x:f>
        <x:v>4</x:v>
      </x:c>
      <x:c r="E57" s="78" t="str">
        <x:f>IF(C57="","",IF(D57=2,"fast_guest",IF(D57=4,"ranged_guest","basic_guest")))</x:f>
        <x:v>ranged_guest</x:v>
      </x:c>
      <x:c r="F57" s="78" t="str">
        <x:f>IF(C57="","",IF(MOD(B57,$B$13)=$B$13-1,IF(D57=4,"basic_guest","fast_guest"),""))</x:f>
        <x:v>basic_guest</x:v>
      </x:c>
      <x:c r="G57" s="56" t="n">
        <x:f>IF(C57="","",IF(C57&lt;$B$10,$B$9,$B$11))</x:f>
        <x:v>2.8</x:v>
      </x:c>
      <x:c r="H57" s="20" t="str">
        <x:v>公式预览</x:v>
      </x:c>
      <x:c r="I57" s="87"/>
      <x:c r="J57" s="87"/>
    </x:row>
    <x:row r="58">
      <x:c r="A58" s="20" t="n">
        <x:v>41</x:v>
      </x:c>
      <x:c r="B58" s="20" t="n">
        <x:v>40</x:v>
      </x:c>
      <x:c r="C58" s="56" t="n">
        <x:f>IF(C57="","",IF(C57+G57&gt;=$B$8,"",C57+G57))</x:f>
        <x:v>128.79999999999998</x:v>
      </x:c>
      <x:c r="D58" s="78" t="n">
        <x:f>IF(C58="","",MOD(B58,$B$12))</x:f>
        <x:v>0</x:v>
      </x:c>
      <x:c r="E58" s="78" t="str">
        <x:f>IF(C58="","",IF(D58=2,"fast_guest",IF(D58=4,"ranged_guest","basic_guest")))</x:f>
        <x:v>basic_guest</x:v>
      </x:c>
      <x:c r="F58" s="78" t="str">
        <x:f>IF(C58="","",IF(MOD(B58,$B$13)=$B$13-1,IF(D58=4,"basic_guest","fast_guest"),""))</x:f>
      </x:c>
      <x:c r="G58" s="56" t="n">
        <x:f>IF(C58="","",IF(C58&lt;$B$10,$B$9,$B$11))</x:f>
        <x:v>2.8</x:v>
      </x:c>
      <x:c r="H58" s="20" t="str">
        <x:v>公式预览</x:v>
      </x:c>
      <x:c r="I58" s="87"/>
      <x:c r="J58" s="87"/>
    </x:row>
    <x:row r="59">
      <x:c r="A59" s="21" t="n">
        <x:v>42</x:v>
      </x:c>
      <x:c r="B59" s="21" t="n">
        <x:v>41</x:v>
      </x:c>
      <x:c r="C59" s="76" t="n">
        <x:f>IF(C58="","",IF(C58+G58&gt;=$B$8,"",C58+G58))</x:f>
        <x:v>131.6</x:v>
      </x:c>
      <x:c r="D59" s="79" t="n">
        <x:f>IF(C59="","",MOD(B59,$B$12))</x:f>
        <x:v>1</x:v>
      </x:c>
      <x:c r="E59" s="79" t="str">
        <x:f>IF(C59="","",IF(D59=2,"fast_guest",IF(D59=4,"ranged_guest","basic_guest")))</x:f>
        <x:v>basic_guest</x:v>
      </x:c>
      <x:c r="F59" s="79" t="str">
        <x:f>IF(C59="","",IF(MOD(B59,$B$13)=$B$13-1,IF(D59=4,"basic_guest","fast_guest"),""))</x:f>
      </x:c>
      <x:c r="G59" s="76" t="n">
        <x:f>IF(C59="","",IF(C59&lt;$B$10,$B$9,$B$11))</x:f>
        <x:v>2.8</x:v>
      </x:c>
      <x:c r="H59" s="21" t="str">
        <x:v>公式预览</x:v>
      </x:c>
      <x:c r="I59" s="87"/>
      <x:c r="J59" s="87"/>
    </x:row>
  </x:sheetData>
  <x:mergeCells>
    <x:mergeCell ref="A1:J1"/>
    <x:mergeCell ref="A2:J3"/>
    <x:mergeCell ref="A5:F5"/>
    <x:mergeCell ref="A16:J16"/>
  </x:mergeCells>
  <x:pageMargins left="0.7" right="0.7" top="0.75" bottom="0.75" header="0.3" footer="0.3"/>
  <x:tableParts count="2">
    <x:tablePart xmlns:r="http://schemas.openxmlformats.org/officeDocument/2006/relationships" r:id="R374a87ddf3684de6"/>
    <x:tablePart xmlns:r="http://schemas.openxmlformats.org/officeDocument/2006/relationships" r:id="Ra9940b041f2a42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2" hidden="0" customWidth="1"/>
    <x:col min="5" max="5" width="38" hidden="0" customWidth="1"/>
    <x:col min="6" max="6" width="28" hidden="0" customWidth="1"/>
  </x:cols>
  <x:sheetData>
    <x:row r="1" ht="40" customHeight="1">
      <x:c r="A1" s="3" t="str">
        <x:v>当前原型 Boss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9" t="str">
        <x:v>资源字段负责 Boss 基础参数；移动边界、攻击节奏和命中范围仍写在 PrototypeBoss 脚本中。伤害按 Boss 当前剩余胃口乘以攻击比例。</x:v>
      </x:c>
      <x:c r="B2" s="9"/>
      <x:c r="C2" s="9"/>
      <x:c r="D2" s="9"/>
      <x:c r="E2" s="9"/>
      <x:c r="F2" s="9"/>
      <x:c r="G2" s="9"/>
      <x:c r="H2" s="9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</x:row>
    <x:row r="4">
      <x:c r="A4" s="87"/>
      <x:c r="B4" s="87"/>
      <x:c r="C4" s="87"/>
      <x:c r="D4" s="87"/>
      <x:c r="E4" s="87"/>
      <x:c r="F4" s="87"/>
      <x:c r="G4" s="87"/>
      <x:c r="H4" s="87"/>
    </x:row>
    <x:row r="5" ht="26" customHeight="1">
      <x:c r="A5" s="13" t="str">
        <x:v>资源参数</x:v>
      </x:c>
      <x:c r="B5" s="13" t="str">
        <x:v>资源参数</x:v>
      </x:c>
      <x:c r="C5" s="13" t="str">
        <x:v>资源参数</x:v>
      </x:c>
      <x:c r="D5" s="13" t="str">
        <x:v>资源参数</x:v>
      </x:c>
      <x:c r="E5" s="13" t="str">
        <x:v>资源参数</x:v>
      </x:c>
      <x:c r="F5" s="13" t="str">
        <x:v>资源参数</x:v>
      </x:c>
      <x:c r="G5" s="13" t="str">
        <x:v>资源参数</x:v>
      </x:c>
      <x:c r="H5" s="13" t="str">
        <x:v>资源参数</x:v>
      </x:c>
    </x:row>
    <x:row r="6" ht="30" customHeight="1">
      <x:c r="A6" s="16" t="str">
        <x:v>名称</x:v>
      </x:c>
      <x:c r="B6" s="16" t="str">
        <x:v>参数</x:v>
      </x:c>
      <x:c r="C6" s="16" t="str">
        <x:v>当前值</x:v>
      </x:c>
      <x:c r="D6" s="16" t="str">
        <x:v>单位</x:v>
      </x:c>
      <x:c r="E6" s="16" t="str">
        <x:v>说明</x:v>
      </x:c>
      <x:c r="F6" s="16" t="str">
        <x:v>来源</x:v>
      </x:c>
      <x:c r="G6" s="87"/>
      <x:c r="H6" s="87"/>
    </x:row>
    <x:row r="7">
      <x:c r="A7" s="19" t="str">
        <x:v>临时主厨（原型）</x:v>
      </x:c>
      <x:c r="B7" s="19" t="str">
        <x:v>最大胃口</x:v>
      </x:c>
      <x:c r="C7" s="38" t="n">
        <x:v>2000</x:v>
      </x:c>
      <x:c r="D7" s="19" t="str">
        <x:v>点</x:v>
      </x:c>
      <x:c r="E7" s="19" t="str">
        <x:v>Boss 初始与最大胃口</x:v>
      </x:c>
      <x:c r="F7" s="19" t="str">
        <x:v>data/bosses/prototype_boss.tres#appetite</x:v>
      </x:c>
      <x:c r="G7" s="87"/>
      <x:c r="H7" s="87"/>
    </x:row>
    <x:row r="8">
      <x:c r="A8" s="20" t="str">
        <x:v>临时主厨（原型）</x:v>
      </x:c>
      <x:c r="B8" s="20" t="str">
        <x:v>横移速度</x:v>
      </x:c>
      <x:c r="C8" s="39" t="n">
        <x:v>110</x:v>
      </x:c>
      <x:c r="D8" s="20" t="str">
        <x:v>px/s</x:v>
      </x:c>
      <x:c r="E8" s="20" t="str">
        <x:v>MOVE 状态横向速度</x:v>
      </x:c>
      <x:c r="F8" s="20" t="str">
        <x:v>data/bosses/prototype_boss.tres#move_speed</x:v>
      </x:c>
      <x:c r="G8" s="87"/>
      <x:c r="H8" s="87"/>
    </x:row>
    <x:row r="9">
      <x:c r="A9" s="20" t="str">
        <x:v>临时主厨（原型）</x:v>
      </x:c>
      <x:c r="B9" s="20" t="str">
        <x:v>预警时长</x:v>
      </x:c>
      <x:c r="C9" s="39" t="n">
        <x:v>1.15</x:v>
      </x:c>
      <x:c r="D9" s="20" t="str">
        <x:v>秒</x:v>
      </x:c>
      <x:c r="E9" s="20" t="str">
        <x:v>两种攻击共用</x:v>
      </x:c>
      <x:c r="F9" s="20" t="str">
        <x:v>data/bosses/prototype_boss.tres#telegraph_duration</x:v>
      </x:c>
      <x:c r="G9" s="87"/>
      <x:c r="H9" s="87"/>
    </x:row>
    <x:row r="10">
      <x:c r="A10" s="20" t="str">
        <x:v>临时主厨（原型）</x:v>
      </x:c>
      <x:c r="B10" s="20" t="str">
        <x:v>恢复时长</x:v>
      </x:c>
      <x:c r="C10" s="39" t="n">
        <x:v>1</x:v>
      </x:c>
      <x:c r="D10" s="20" t="str">
        <x:v>秒</x:v>
      </x:c>
      <x:c r="E10" s="20" t="str">
        <x:v>攻击后恢复窗口</x:v>
      </x:c>
      <x:c r="F10" s="20" t="str">
        <x:v>data/bosses/prototype_boss.tres#recovery_duration</x:v>
      </x:c>
      <x:c r="G10" s="87"/>
      <x:c r="H10" s="87"/>
    </x:row>
    <x:row r="11">
      <x:c r="A11" s="20" t="str">
        <x:v>临时主厨（原型）</x:v>
      </x:c>
      <x:c r="B11" s="20" t="str">
        <x:v>直线伤害比例</x:v>
      </x:c>
      <x:c r="C11" s="43" t="n">
        <x:v>0.025</x:v>
      </x:c>
      <x:c r="D11" s="20" t="str">
        <x:v>%</x:v>
      </x:c>
      <x:c r="E11" s="20" t="str">
        <x:v>剩余胃口 × 比例</x:v>
      </x:c>
      <x:c r="F11" s="20" t="str">
        <x:v>data/bosses/prototype_boss.tres#line_attack_ratio</x:v>
      </x:c>
      <x:c r="G11" s="87"/>
      <x:c r="H11" s="87"/>
    </x:row>
    <x:row r="12">
      <x:c r="A12" s="21" t="str">
        <x:v>临时主厨（原型）</x:v>
      </x:c>
      <x:c r="B12" s="21" t="str">
        <x:v>范围伤害比例</x:v>
      </x:c>
      <x:c r="C12" s="44" t="n">
        <x:v>0.036</x:v>
      </x:c>
      <x:c r="D12" s="21" t="str">
        <x:v>%</x:v>
      </x:c>
      <x:c r="E12" s="21" t="str">
        <x:v>剩余胃口 × 比例</x:v>
      </x:c>
      <x:c r="F12" s="21" t="str">
        <x:v>data/bosses/prototype_boss.tres#area_attack_ratio</x:v>
      </x:c>
      <x:c r="G12" s="87"/>
      <x:c r="H12" s="87"/>
    </x:row>
    <x:row r="13">
      <x:c r="A13" s="87"/>
      <x:c r="B13" s="87"/>
      <x:c r="C13" s="87"/>
      <x:c r="D13" s="87"/>
      <x:c r="E13" s="87"/>
      <x:c r="F13" s="87"/>
      <x:c r="G13" s="87"/>
      <x:c r="H13" s="87"/>
    </x:row>
    <x:row r="14">
      <x:c r="A14" s="87"/>
      <x:c r="B14" s="87"/>
      <x:c r="C14" s="87"/>
      <x:c r="D14" s="87"/>
      <x:c r="E14" s="87"/>
      <x:c r="F14" s="87"/>
      <x:c r="G14" s="87"/>
      <x:c r="H14" s="87"/>
    </x:row>
    <x:row r="15" ht="26" customHeight="1">
      <x:c r="A15" s="13" t="str">
        <x:v>脚本行为阈值</x:v>
      </x:c>
      <x:c r="B15" s="13" t="str">
        <x:v>脚本行为阈值</x:v>
      </x:c>
      <x:c r="C15" s="13" t="str">
        <x:v>脚本行为阈值</x:v>
      </x:c>
      <x:c r="D15" s="13" t="str">
        <x:v>脚本行为阈值</x:v>
      </x:c>
      <x:c r="E15" s="13" t="str">
        <x:v>脚本行为阈值</x:v>
      </x:c>
      <x:c r="F15" s="13" t="str">
        <x:v>脚本行为阈值</x:v>
      </x:c>
      <x:c r="G15" s="13" t="str">
        <x:v>脚本行为阈值</x:v>
      </x:c>
      <x:c r="H15" s="13" t="str">
        <x:v>脚本行为阈值</x:v>
      </x:c>
    </x:row>
    <x:row r="16" ht="30" customHeight="1">
      <x:c r="A16" s="16" t="str">
        <x:v>阶段</x:v>
      </x:c>
      <x:c r="B16" s="16" t="str">
        <x:v>参数</x:v>
      </x:c>
      <x:c r="C16" s="16" t="str">
        <x:v>当前值</x:v>
      </x:c>
      <x:c r="D16" s="16" t="str">
        <x:v>单位</x:v>
      </x:c>
      <x:c r="E16" s="16" t="str">
        <x:v>说明</x:v>
      </x:c>
      <x:c r="F16" s="16" t="str">
        <x:v>来源</x:v>
      </x:c>
      <x:c r="G16" s="87"/>
      <x:c r="H16" s="87"/>
    </x:row>
    <x:row r="17">
      <x:c r="A17" s="19" t="str">
        <x:v>登场</x:v>
      </x:c>
      <x:c r="B17" s="19" t="str">
        <x:v>出生 X</x:v>
      </x:c>
      <x:c r="C17" s="27" t="n">
        <x:v>360</x:v>
      </x:c>
      <x:c r="D17" s="19" t="str">
        <x:v>px</x:v>
      </x:c>
      <x:c r="E17" s="22" t="str">
        <x:v>道路中心</x:v>
      </x:c>
      <x:c r="F17" s="19" t="str">
        <x:v>scripts/boss.gd:29</x:v>
      </x:c>
      <x:c r="G17" s="87"/>
      <x:c r="H17" s="87"/>
    </x:row>
    <x:row r="18">
      <x:c r="A18" s="20" t="str">
        <x:v>登场</x:v>
      </x:c>
      <x:c r="B18" s="20" t="str">
        <x:v>出生 Y</x:v>
      </x:c>
      <x:c r="C18" s="69" t="n">
        <x:v>-120</x:v>
      </x:c>
      <x:c r="D18" s="20" t="str">
        <x:v>px</x:v>
      </x:c>
      <x:c r="E18" s="23" t="str">
        <x:v>屏幕上方</x:v>
      </x:c>
      <x:c r="F18" s="20" t="str">
        <x:v>scripts/boss.gd:29</x:v>
      </x:c>
      <x:c r="G18" s="87"/>
      <x:c r="H18" s="87"/>
    </x:row>
    <x:row r="19">
      <x:c r="A19" s="20" t="str">
        <x:v>登场</x:v>
      </x:c>
      <x:c r="B19" s="20" t="str">
        <x:v>进入目标 Y</x:v>
      </x:c>
      <x:c r="C19" s="69" t="n">
        <x:v>300</x:v>
      </x:c>
      <x:c r="D19" s="20" t="str">
        <x:v>px</x:v>
      </x:c>
      <x:c r="E19" s="23" t="str">
        <x:v>到达后转为横移</x:v>
      </x:c>
      <x:c r="F19" s="20" t="str">
        <x:v>scripts/boss.gd:43-44</x:v>
      </x:c>
      <x:c r="G19" s="87"/>
      <x:c r="H19" s="87"/>
    </x:row>
    <x:row r="20">
      <x:c r="A20" s="20" t="str">
        <x:v>登场</x:v>
      </x:c>
      <x:c r="B20" s="20" t="str">
        <x:v>进入速度</x:v>
      </x:c>
      <x:c r="C20" s="69" t="n">
        <x:v>300</x:v>
      </x:c>
      <x:c r="D20" s="20" t="str">
        <x:v>px/s</x:v>
      </x:c>
      <x:c r="E20" s="23" t="str">
        <x:v>纵向进入速度</x:v>
      </x:c>
      <x:c r="F20" s="20" t="str">
        <x:v>scripts/boss.gd:43</x:v>
      </x:c>
      <x:c r="G20" s="87"/>
      <x:c r="H20" s="87"/>
    </x:row>
    <x:row r="21">
      <x:c r="A21" s="20" t="str">
        <x:v>横移</x:v>
      </x:c>
      <x:c r="B21" s="20" t="str">
        <x:v>左边界</x:v>
      </x:c>
      <x:c r="C21" s="69" t="n">
        <x:v>180</x:v>
      </x:c>
      <x:c r="D21" s="20" t="str">
        <x:v>px</x:v>
      </x:c>
      <x:c r="E21" s="23" t="str">
        <x:v>Boss 中心横移下限</x:v>
      </x:c>
      <x:c r="F21" s="20" t="str">
        <x:v>scripts/boss.gd:47-49</x:v>
      </x:c>
      <x:c r="G21" s="87"/>
      <x:c r="H21" s="87"/>
    </x:row>
    <x:row r="22">
      <x:c r="A22" s="20" t="str">
        <x:v>横移</x:v>
      </x:c>
      <x:c r="B22" s="20" t="str">
        <x:v>右边界</x:v>
      </x:c>
      <x:c r="C22" s="69" t="n">
        <x:v>540</x:v>
      </x:c>
      <x:c r="D22" s="20" t="str">
        <x:v>px</x:v>
      </x:c>
      <x:c r="E22" s="23" t="str">
        <x:v>Boss 中心横移上限</x:v>
      </x:c>
      <x:c r="F22" s="20" t="str">
        <x:v>scripts/boss.gd:47-49</x:v>
      </x:c>
      <x:c r="G22" s="87"/>
      <x:c r="H22" s="87"/>
    </x:row>
    <x:row r="23">
      <x:c r="A23" s="20" t="str">
        <x:v>横移</x:v>
      </x:c>
      <x:c r="B23" s="20" t="str">
        <x:v>攻击前移动时长</x:v>
      </x:c>
      <x:c r="C23" s="69" t="n">
        <x:v>2.2</x:v>
      </x:c>
      <x:c r="D23" s="20" t="str">
        <x:v>秒</x:v>
      </x:c>
      <x:c r="E23" s="23" t="str">
        <x:v>之后锁定餐车 X</x:v>
      </x:c>
      <x:c r="F23" s="20" t="str">
        <x:v>scripts/boss.gd:50</x:v>
      </x:c>
      <x:c r="G23" s="87"/>
      <x:c r="H23" s="87"/>
    </x:row>
    <x:row r="24">
      <x:c r="A24" s="20" t="str">
        <x:v>攻击</x:v>
      </x:c>
      <x:c r="B24" s="20" t="str">
        <x:v>直线命中半宽</x:v>
      </x:c>
      <x:c r="C24" s="69" t="n">
        <x:v>54</x:v>
      </x:c>
      <x:c r="D24" s="20" t="str">
        <x:v>px</x:v>
      </x:c>
      <x:c r="E24" s="23" t="str">
        <x:v>|餐车X-锁定X| ≤ 54</x:v>
      </x:c>
      <x:c r="F24" s="20" t="str">
        <x:v>scripts/boss.gd:55</x:v>
      </x:c>
      <x:c r="G24" s="87"/>
      <x:c r="H24" s="87"/>
    </x:row>
    <x:row r="25">
      <x:c r="A25" s="20" t="str">
        <x:v>攻击</x:v>
      </x:c>
      <x:c r="B25" s="20" t="str">
        <x:v>范围命中半宽</x:v>
      </x:c>
      <x:c r="C25" s="69" t="n">
        <x:v>110</x:v>
      </x:c>
      <x:c r="D25" s="20" t="str">
        <x:v>px</x:v>
      </x:c>
      <x:c r="E25" s="23" t="str">
        <x:v>|餐车X-锁定X| ≤ 110</x:v>
      </x:c>
      <x:c r="F25" s="20" t="str">
        <x:v>scripts/boss.gd:60</x:v>
      </x:c>
      <x:c r="G25" s="87"/>
      <x:c r="H25" s="87"/>
    </x:row>
    <x:row r="26">
      <x:c r="A26" s="20" t="str">
        <x:v>受击</x:v>
      </x:c>
      <x:c r="B26" s="20" t="str">
        <x:v>Boss 命中半径</x:v>
      </x:c>
      <x:c r="C26" s="69" t="n">
        <x:v>108</x:v>
      </x:c>
      <x:c r="D26" s="20" t="str">
        <x:v>px</x:v>
      </x:c>
      <x:c r="E26" s="23" t="str">
        <x:v>投射物碰撞判定</x:v>
      </x:c>
      <x:c r="F26" s="20" t="str">
        <x:v>scripts/boss.gd:81</x:v>
      </x:c>
      <x:c r="G26" s="87"/>
      <x:c r="H26" s="87"/>
    </x:row>
    <x:row r="27">
      <x:c r="A27" s="21" t="str">
        <x:v>攻击</x:v>
      </x:c>
      <x:c r="B27" s="21" t="str">
        <x:v>攻击轮换</x:v>
      </x:c>
      <x:c r="C27" s="28" t="n">
        <x:v>2</x:v>
      </x:c>
      <x:c r="D27" s="21" t="str">
        <x:v>种</x:v>
      </x:c>
      <x:c r="E27" s="24" t="str">
        <x:v>直线与范围按索引奇偶交替</x:v>
      </x:c>
      <x:c r="F27" s="21" t="str">
        <x:v>scripts/boss.gd:52</x:v>
      </x:c>
      <x:c r="G27" s="87"/>
      <x:c r="H27" s="87"/>
    </x:row>
  </x:sheetData>
  <x:mergeCells>
    <x:mergeCell ref="A1:H1"/>
    <x:mergeCell ref="A2:H3"/>
    <x:mergeCell ref="A5:H5"/>
    <x:mergeCell ref="A15:H15"/>
  </x:mergeCells>
  <x:pageMargins left="0.7" right="0.7" top="0.75" bottom="0.75" header="0.3" footer="0.3"/>
  <x:tableParts count="2">
    <x:tablePart xmlns:r="http://schemas.openxmlformats.org/officeDocument/2006/relationships" r:id="R820aeb21ea644da6"/>
    <x:tablePart xmlns:r="http://schemas.openxmlformats.org/officeDocument/2006/relationships" r:id="R23ce4f16c5b04b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5" hidden="0" customWidth="1"/>
    <x:col min="4" max="4" width="12" hidden="0" customWidth="1"/>
    <x:col min="5" max="5" width="52" hidden="0" customWidth="1"/>
    <x:col min="6" max="6" width="38" hidden="0" customWidth="1"/>
  </x:cols>
  <x:sheetData>
    <x:row r="1" ht="40" customHeight="1">
      <x:c r="A1" s="3" t="str">
        <x:v>全局战斗、场地与判定参数</x:v>
      </x:c>
      <x:c r="B1" s="3"/>
      <x:c r="C1" s="3"/>
      <x:c r="D1" s="3"/>
      <x:c r="E1" s="3"/>
      <x:c r="F1" s="3"/>
      <x:c r="G1" s="3"/>
    </x:row>
    <x:row r="2" ht="24" customHeight="1">
      <x:c r="A2" s="9" t="str">
        <x:v>只纳入会改变游戏节奏、移动、伤害、生成、碰撞或目标判定的数值。纯绘制颜色、字号和短暂视觉反馈未纳入。</x:v>
      </x:c>
      <x:c r="B2" s="9"/>
      <x:c r="C2" s="9"/>
      <x:c r="D2" s="9"/>
      <x:c r="E2" s="9"/>
      <x:c r="F2" s="9"/>
      <x:c r="G2" s="9"/>
    </x:row>
    <x:row r="3" ht="24" customHeight="1">
      <x:c r="A3" s="10"/>
      <x:c r="B3" s="10"/>
      <x:c r="C3" s="10"/>
      <x:c r="D3" s="10"/>
      <x:c r="E3" s="10"/>
      <x:c r="F3" s="10"/>
      <x:c r="G3" s="10"/>
    </x:row>
    <x:row r="4">
      <x:c r="A4" s="87"/>
      <x:c r="B4" s="87"/>
      <x:c r="C4" s="87"/>
      <x:c r="D4" s="87"/>
      <x:c r="E4" s="87"/>
      <x:c r="F4" s="87"/>
      <x:c r="G4" s="87"/>
    </x:row>
    <x:row r="5" ht="30" customHeight="1">
      <x:c r="A5" s="16" t="str">
        <x:v>系统</x:v>
      </x:c>
      <x:c r="B5" s="16" t="str">
        <x:v>参数</x:v>
      </x:c>
      <x:c r="C5" s="16" t="str">
        <x:v>当前值</x:v>
      </x:c>
      <x:c r="D5" s="16" t="str">
        <x:v>单位</x:v>
      </x:c>
      <x:c r="E5" s="16" t="str">
        <x:v>用途/规则</x:v>
      </x:c>
      <x:c r="F5" s="16" t="str">
        <x:v>来源</x:v>
      </x:c>
      <x:c r="G5" s="87"/>
    </x:row>
    <x:row r="6" ht="30" customHeight="1">
      <x:c r="A6" s="19" t="str">
        <x:v>局内状态</x:v>
      </x:c>
      <x:c r="B6" s="19" t="str">
        <x:v>初始最大耐久</x:v>
      </x:c>
      <x:c r="C6" s="38" t="n">
        <x:v>100</x:v>
      </x:c>
      <x:c r="D6" s="19" t="str">
        <x:v>点</x:v>
      </x:c>
      <x:c r="E6" s="22" t="str">
        <x:v>同时作为当前耐久初值</x:v>
      </x:c>
      <x:c r="F6" s="22" t="str">
        <x:v>scripts/data/run_state.gd:9-10</x:v>
      </x:c>
      <x:c r="G6" s="87"/>
    </x:row>
    <x:row r="7" ht="30" customHeight="1">
      <x:c r="A7" s="20" t="str">
        <x:v>局内状态</x:v>
      </x:c>
      <x:c r="B7" s="20" t="str">
        <x:v>基础加量份数</x:v>
      </x:c>
      <x:c r="C7" s="39" t="n">
        <x:v>1</x:v>
      </x:c>
      <x:c r="D7" s="20" t="str">
        <x:v>份</x:v>
      </x:c>
      <x:c r="E7" s="23" t="str">
        <x:v>每种食材每轮发射数</x:v>
      </x:c>
      <x:c r="F7" s="23" t="str">
        <x:v>scripts/data/run_state.gd:18</x:v>
      </x:c>
      <x:c r="G7" s="87"/>
    </x:row>
    <x:row r="8" ht="30" customHeight="1">
      <x:c r="A8" s="20" t="str">
        <x:v>局内状态</x:v>
      </x:c>
      <x:c r="B8" s="20" t="str">
        <x:v>最小攻击间隔</x:v>
      </x:c>
      <x:c r="C8" s="39" t="n">
        <x:v>0.016666666666666666</x:v>
      </x:c>
      <x:c r="D8" s="20" t="str">
        <x:v>秒</x:v>
      </x:c>
      <x:c r="E8" s="23" t="str">
        <x:v>单件食材每帧最多完成一次攻击</x:v>
      </x:c>
      <x:c r="F8" s="23" t="str">
        <x:v>scripts/data/run_state.gd:7,123-124</x:v>
      </x:c>
      <x:c r="G8" s="87"/>
    </x:row>
    <x:row r="9" ht="30" customHeight="1">
      <x:c r="A9" s="20" t="str">
        <x:v>餐车</x:v>
      </x:c>
      <x:c r="B9" s="20" t="str">
        <x:v>基础横移速度</x:v>
      </x:c>
      <x:c r="C9" s="39" t="n">
        <x:v>900</x:v>
      </x:c>
      <x:c r="D9" s="20" t="str">
        <x:v>px/s</x:v>
      </x:c>
      <x:c r="E9" s="23" t="str">
        <x:v>实际速度再加 cart_speed_bonus</x:v>
      </x:c>
      <x:c r="F9" s="23" t="str">
        <x:v>scripts/cart.gd:7,34</x:v>
      </x:c>
      <x:c r="G9" s="87"/>
    </x:row>
    <x:row r="10" ht="30" customHeight="1">
      <x:c r="A10" s="20" t="str">
        <x:v>餐车</x:v>
      </x:c>
      <x:c r="B10" s="20" t="str">
        <x:v>受击无敌</x:v>
      </x:c>
      <x:c r="C10" s="39" t="n">
        <x:v>1</x:v>
      </x:c>
      <x:c r="D10" s="20" t="str">
        <x:v>秒</x:v>
      </x:c>
      <x:c r="E10" s="23" t="str">
        <x:v>一次受击成功后写入</x:v>
      </x:c>
      <x:c r="F10" s="23" t="str">
        <x:v>scripts/cart.gd:69</x:v>
      </x:c>
      <x:c r="G10" s="87"/>
    </x:row>
    <x:row r="11" ht="30" customHeight="1">
      <x:c r="A11" s="20" t="str">
        <x:v>餐车</x:v>
      </x:c>
      <x:c r="B11" s="20" t="str">
        <x:v>碰撞框 X</x:v>
      </x:c>
      <x:c r="C11" s="39" t="n">
        <x:v>-96</x:v>
      </x:c>
      <x:c r="D11" s="20" t="str">
        <x:v>px</x:v>
      </x:c>
      <x:c r="E11" s="23" t="str">
        <x:v>相对餐车中心</x:v>
      </x:c>
      <x:c r="F11" s="23" t="str">
        <x:v>scripts/cart.gd:9</x:v>
      </x:c>
      <x:c r="G11" s="87"/>
    </x:row>
    <x:row r="12" ht="30" customHeight="1">
      <x:c r="A12" s="20" t="str">
        <x:v>餐车</x:v>
      </x:c>
      <x:c r="B12" s="20" t="str">
        <x:v>碰撞框 Y</x:v>
      </x:c>
      <x:c r="C12" s="39" t="n">
        <x:v>-150</x:v>
      </x:c>
      <x:c r="D12" s="20" t="str">
        <x:v>px</x:v>
      </x:c>
      <x:c r="E12" s="23" t="str">
        <x:v>相对餐车中心</x:v>
      </x:c>
      <x:c r="F12" s="23" t="str">
        <x:v>scripts/cart.gd:9</x:v>
      </x:c>
      <x:c r="G12" s="87"/>
    </x:row>
    <x:row r="13" ht="30" customHeight="1">
      <x:c r="A13" s="20" t="str">
        <x:v>餐车</x:v>
      </x:c>
      <x:c r="B13" s="20" t="str">
        <x:v>碰撞框宽</x:v>
      </x:c>
      <x:c r="C13" s="39" t="n">
        <x:v>192</x:v>
      </x:c>
      <x:c r="D13" s="20" t="str">
        <x:v>px</x:v>
      </x:c>
      <x:c r="E13" s="23" t="str">
        <x:v>食客接触判定</x:v>
      </x:c>
      <x:c r="F13" s="23" t="str">
        <x:v>scripts/cart.gd:9</x:v>
      </x:c>
      <x:c r="G13" s="87"/>
    </x:row>
    <x:row r="14" ht="30" customHeight="1">
      <x:c r="A14" s="20" t="str">
        <x:v>餐车</x:v>
      </x:c>
      <x:c r="B14" s="20" t="str">
        <x:v>碰撞框高</x:v>
      </x:c>
      <x:c r="C14" s="39" t="n">
        <x:v>217</x:v>
      </x:c>
      <x:c r="D14" s="20" t="str">
        <x:v>px</x:v>
      </x:c>
      <x:c r="E14" s="23" t="str">
        <x:v>食客接触判定</x:v>
      </x:c>
      <x:c r="F14" s="23" t="str">
        <x:v>scripts/cart.gd:9</x:v>
      </x:c>
      <x:c r="G14" s="87"/>
    </x:row>
    <x:row r="15" ht="30" customHeight="1">
      <x:c r="A15" s="20" t="str">
        <x:v>世界</x:v>
      </x:c>
      <x:c r="B15" s="20" t="str">
        <x:v>前进滚动速度</x:v>
      </x:c>
      <x:c r="C15" s="39" t="n">
        <x:v>205</x:v>
      </x:c>
      <x:c r="D15" s="20" t="str">
        <x:v>px/s</x:v>
      </x:c>
      <x:c r="E15" s="23" t="str">
        <x:v>食客实际下移速度还会加自身移速</x:v>
      </x:c>
      <x:c r="F15" s="23" t="str">
        <x:v>scripts/run.gd:48</x:v>
      </x:c>
      <x:c r="G15" s="87"/>
    </x:row>
    <x:row r="16" ht="30" customHeight="1">
      <x:c r="A16" s="20" t="str">
        <x:v>场地</x:v>
      </x:c>
      <x:c r="B16" s="20" t="str">
        <x:v>设计宽</x:v>
      </x:c>
      <x:c r="C16" s="39" t="n">
        <x:v>720</x:v>
      </x:c>
      <x:c r="D16" s="20" t="str">
        <x:v>px</x:v>
      </x:c>
      <x:c r="E16" s="23" t="str">
        <x:v>内部设计分辨率</x:v>
      </x:c>
      <x:c r="F16" s="23" t="str">
        <x:v>scripts/playfield.gd:4 / project.godot</x:v>
      </x:c>
      <x:c r="G16" s="87"/>
    </x:row>
    <x:row r="17" ht="30" customHeight="1">
      <x:c r="A17" s="20" t="str">
        <x:v>场地</x:v>
      </x:c>
      <x:c r="B17" s="20" t="str">
        <x:v>设计高</x:v>
      </x:c>
      <x:c r="C17" s="39" t="n">
        <x:v>1280</x:v>
      </x:c>
      <x:c r="D17" s="20" t="str">
        <x:v>px</x:v>
      </x:c>
      <x:c r="E17" s="23" t="str">
        <x:v>内部设计分辨率</x:v>
      </x:c>
      <x:c r="F17" s="23" t="str">
        <x:v>scripts/playfield.gd:4 / project.godot</x:v>
      </x:c>
      <x:c r="G17" s="87"/>
    </x:row>
    <x:row r="18" ht="30" customHeight="1">
      <x:c r="A18" s="20" t="str">
        <x:v>场地</x:v>
      </x:c>
      <x:c r="B18" s="20" t="str">
        <x:v>道路左边界</x:v>
      </x:c>
      <x:c r="C18" s="39" t="n">
        <x:v>60</x:v>
      </x:c>
      <x:c r="D18" s="20" t="str">
        <x:v>px</x:v>
      </x:c>
      <x:c r="E18" s="23" t="str">
        <x:v>六区逻辑范围</x:v>
      </x:c>
      <x:c r="F18" s="23" t="str">
        <x:v>scripts/playfield.gd:5</x:v>
      </x:c>
      <x:c r="G18" s="87"/>
    </x:row>
    <x:row r="19" ht="30" customHeight="1">
      <x:c r="A19" s="20" t="str">
        <x:v>场地</x:v>
      </x:c>
      <x:c r="B19" s="20" t="str">
        <x:v>道路右边界</x:v>
      </x:c>
      <x:c r="C19" s="39" t="n">
        <x:v>660</x:v>
      </x:c>
      <x:c r="D19" s="20" t="str">
        <x:v>px</x:v>
      </x:c>
      <x:c r="E19" s="23" t="str">
        <x:v>六区逻辑范围</x:v>
      </x:c>
      <x:c r="F19" s="23" t="str">
        <x:v>scripts/playfield.gd:6</x:v>
      </x:c>
      <x:c r="G19" s="87"/>
    </x:row>
    <x:row r="20" ht="30" customHeight="1">
      <x:c r="A20" s="20" t="str">
        <x:v>场地</x:v>
      </x:c>
      <x:c r="B20" s="20" t="str">
        <x:v>逻辑区域数</x:v>
      </x:c>
      <x:c r="C20" s="39" t="n">
        <x:v>6</x:v>
      </x:c>
      <x:c r="D20" s="20" t="str">
        <x:v>区</x:v>
      </x:c>
      <x:c r="E20" s="23" t="str">
        <x:v>不吸附车道</x:v>
      </x:c>
      <x:c r="F20" s="23" t="str">
        <x:v>scripts/playfield.gd:8</x:v>
      </x:c>
      <x:c r="G20" s="87"/>
    </x:row>
    <x:row r="21" ht="30" customHeight="1">
      <x:c r="A21" s="20" t="str">
        <x:v>场地</x:v>
      </x:c>
      <x:c r="B21" s="20" t="str">
        <x:v>餐车中心 Y</x:v>
      </x:c>
      <x:c r="C21" s="39" t="n">
        <x:v>1050</x:v>
      </x:c>
      <x:c r="D21" s="20" t="str">
        <x:v>px</x:v>
      </x:c>
      <x:c r="E21" s="23" t="str">
        <x:v>门结算线也使用此值</x:v>
      </x:c>
      <x:c r="F21" s="23" t="str">
        <x:v>scripts/playfield.gd:10</x:v>
      </x:c>
      <x:c r="G21" s="87"/>
    </x:row>
    <x:row r="22" ht="30" customHeight="1">
      <x:c r="A22" s="20" t="str">
        <x:v>场地</x:v>
      </x:c>
      <x:c r="B22" s="20" t="str">
        <x:v>餐车左右边距</x:v>
      </x:c>
      <x:c r="C22" s="39" t="n">
        <x:v>48</x:v>
      </x:c>
      <x:c r="D22" s="20" t="str">
        <x:v>px</x:v>
      </x:c>
      <x:c r="E22" s="23" t="str">
        <x:v>道路边界内的横移限制</x:v>
      </x:c>
      <x:c r="F22" s="23" t="str">
        <x:v>scripts/playfield.gd:20</x:v>
      </x:c>
      <x:c r="G22" s="87"/>
    </x:row>
    <x:row r="23" ht="30" customHeight="1">
      <x:c r="A23" s="20" t="str">
        <x:v>生成</x:v>
      </x:c>
      <x:c r="B23" s="20" t="str">
        <x:v>食客出生 Y</x:v>
      </x:c>
      <x:c r="C23" s="39" t="n">
        <x:v>-640</x:v>
      </x:c>
      <x:c r="D23" s="20" t="str">
        <x:v>px</x:v>
      </x:c>
      <x:c r="E23" s="23" t="str">
        <x:v>可在画面上方提前成为目标</x:v>
      </x:c>
      <x:c r="F23" s="23" t="str">
        <x:v>scripts/playfield.gd:11</x:v>
      </x:c>
      <x:c r="G23" s="87"/>
    </x:row>
    <x:row r="24" ht="30" customHeight="1">
      <x:c r="A24" s="20" t="str">
        <x:v>生成</x:v>
      </x:c>
      <x:c r="B24" s="20" t="str">
        <x:v>食客离场 Y</x:v>
      </x:c>
      <x:c r="C24" s="39" t="n">
        <x:v>1360</x:v>
      </x:c>
      <x:c r="D24" s="20" t="str">
        <x:v>px</x:v>
      </x:c>
      <x:c r="E24" s="23" t="str">
        <x:v>绕开后静默离场</x:v>
      </x:c>
      <x:c r="F24" s="23" t="str">
        <x:v>scripts/playfield.gd:12</x:v>
      </x:c>
      <x:c r="G24" s="87"/>
    </x:row>
    <x:row r="25" ht="30" customHeight="1">
      <x:c r="A25" s="20" t="str">
        <x:v>生成</x:v>
      </x:c>
      <x:c r="B25" s="20" t="str">
        <x:v>视觉最小中心距</x:v>
      </x:c>
      <x:c r="C25" s="39" t="n">
        <x:v>180</x:v>
      </x:c>
      <x:c r="D25" s="20" t="str">
        <x:v>px</x:v>
      </x:c>
      <x:c r="E25" s="23" t="str">
        <x:v>烟雾测试验收线</x:v>
      </x:c>
      <x:c r="F25" s="23" t="str">
        <x:v>scripts/playfield.gd:14</x:v>
      </x:c>
      <x:c r="G25" s="87"/>
    </x:row>
    <x:row r="26" ht="30" customHeight="1">
      <x:c r="A26" s="20" t="str">
        <x:v>生成</x:v>
      </x:c>
      <x:c r="B26" s="20" t="str">
        <x:v>预测预留中心距</x:v>
      </x:c>
      <x:c r="C26" s="39" t="n">
        <x:v>220</x:v>
      </x:c>
      <x:c r="D26" s="20" t="str">
        <x:v>px</x:v>
      </x:c>
      <x:c r="E26" s="23" t="str">
        <x:v>低帧率下仍保留安全距离</x:v>
      </x:c>
      <x:c r="F26" s="23" t="str">
        <x:v>scripts/playfield.gd:16</x:v>
      </x:c>
      <x:c r="G26" s="87"/>
    </x:row>
    <x:row r="27" ht="30" customHeight="1">
      <x:c r="A27" s="20" t="str">
        <x:v>生成</x:v>
      </x:c>
      <x:c r="B27" s="20" t="str">
        <x:v>单帧最大队列生成数</x:v>
      </x:c>
      <x:c r="C27" s="39" t="n">
        <x:v>4</x:v>
      </x:c>
      <x:c r="D27" s="20" t="str">
        <x:v>个</x:v>
      </x:c>
      <x:c r="E27" s="23" t="str">
        <x:v>队首安全时按序处理</x:v>
      </x:c>
      <x:c r="F27" s="23" t="str">
        <x:v>scripts/run.gd:328-329</x:v>
      </x:c>
      <x:c r="G27" s="87"/>
    </x:row>
    <x:row r="28" ht="30" customHeight="1">
      <x:c r="A28" s="20" t="str">
        <x:v>普通门</x:v>
      </x:c>
      <x:c r="B28" s="20" t="str">
        <x:v>移动速度</x:v>
      </x:c>
      <x:c r="C28" s="39" t="n">
        <x:v>250</x:v>
      </x:c>
      <x:c r="D28" s="20" t="str">
        <x:v>px/s</x:v>
      </x:c>
      <x:c r="E28" s="23" t="str">
        <x:v>前进阶段向餐车移动</x:v>
      </x:c>
      <x:c r="F28" s="23" t="str">
        <x:v>scripts/upgrade_gate.gd:15</x:v>
      </x:c>
      <x:c r="G28" s="87"/>
    </x:row>
    <x:row r="29" ht="30" customHeight="1">
      <x:c r="A29" s="20" t="str">
        <x:v>奖励门</x:v>
      </x:c>
      <x:c r="B29" s="20" t="str">
        <x:v>移动速度</x:v>
      </x:c>
      <x:c r="C29" s="39" t="n">
        <x:v>250</x:v>
      </x:c>
      <x:c r="D29" s="20" t="str">
        <x:v>px/s</x:v>
      </x:c>
      <x:c r="E29" s="23" t="str">
        <x:v>前进阶段向餐车移动</x:v>
      </x:c>
      <x:c r="F29" s="23" t="str">
        <x:v>scripts/upgrade_drop.gd:14</x:v>
      </x:c>
      <x:c r="G29" s="87"/>
    </x:row>
    <x:row r="30" ht="30" customHeight="1">
      <x:c r="A30" s="20" t="str">
        <x:v>普通门</x:v>
      </x:c>
      <x:c r="B30" s="20" t="str">
        <x:v>左右分界 X</x:v>
      </x:c>
      <x:c r="C30" s="39" t="n">
        <x:v>360</x:v>
      </x:c>
      <x:c r="D30" s="20" t="str">
        <x:v>px</x:v>
      </x:c>
      <x:c r="E30" s="23" t="str">
        <x:v>中心点归右侧</x:v>
      </x:c>
      <x:c r="F30" s="23" t="str">
        <x:v>scripts/upgrade_gate.gd:7</x:v>
      </x:c>
      <x:c r="G30" s="87"/>
    </x:row>
    <x:row r="31" ht="30" customHeight="1">
      <x:c r="A31" s="20" t="str">
        <x:v>普通门</x:v>
      </x:c>
      <x:c r="B31" s="20" t="str">
        <x:v>单侧面板宽</x:v>
      </x:c>
      <x:c r="C31" s="39" t="n">
        <x:v>288</x:v>
      </x:c>
      <x:c r="D31" s="20" t="str">
        <x:v>px</x:v>
      </x:c>
      <x:c r="E31" s="23" t="str">
        <x:v>投射物命中区域</x:v>
      </x:c>
      <x:c r="F31" s="23" t="str">
        <x:v>scripts/upgrade_gate.gd:5-6</x:v>
      </x:c>
      <x:c r="G31" s="87"/>
    </x:row>
    <x:row r="32" ht="30" customHeight="1">
      <x:c r="A32" s="20" t="str">
        <x:v>普通门</x:v>
      </x:c>
      <x:c r="B32" s="20" t="str">
        <x:v>单侧面板高</x:v>
      </x:c>
      <x:c r="C32" s="39" t="n">
        <x:v>144</x:v>
      </x:c>
      <x:c r="D32" s="20" t="str">
        <x:v>px</x:v>
      </x:c>
      <x:c r="E32" s="23" t="str">
        <x:v>投射物命中区域</x:v>
      </x:c>
      <x:c r="F32" s="23" t="str">
        <x:v>scripts/upgrade_gate.gd:5-6</x:v>
      </x:c>
      <x:c r="G32" s="87"/>
    </x:row>
    <x:row r="33" ht="30" customHeight="1">
      <x:c r="A33" s="20" t="str">
        <x:v>奖励门</x:v>
      </x:c>
      <x:c r="B33" s="20" t="str">
        <x:v>面板高</x:v>
      </x:c>
      <x:c r="C33" s="39" t="n">
        <x:v>144</x:v>
      </x:c>
      <x:c r="D33" s="20" t="str">
        <x:v>px</x:v>
      </x:c>
      <x:c r="E33" s="23" t="str">
        <x:v>奖励门命中与经过区域</x:v>
      </x:c>
      <x:c r="F33" s="23" t="str">
        <x:v>scripts/upgrade_drop.gd:5</x:v>
      </x:c>
      <x:c r="G33" s="87"/>
    </x:row>
    <x:row r="34" ht="30" customHeight="1">
      <x:c r="A34" s="20" t="str">
        <x:v>奖励门</x:v>
      </x:c>
      <x:c r="B34" s="20" t="str">
        <x:v>最小面板宽</x:v>
      </x:c>
      <x:c r="C34" s="39" t="n">
        <x:v>82</x:v>
      </x:c>
      <x:c r="D34" s="20" t="str">
        <x:v>px</x:v>
      </x:c>
      <x:c r="E34" s="23" t="str">
        <x:v>面板宽度下限</x:v>
      </x:c>
      <x:c r="F34" s="23" t="str">
        <x:v>scripts/upgrade_drop.gd:122</x:v>
      </x:c>
      <x:c r="G34" s="87"/>
    </x:row>
    <x:row r="35" ht="30" customHeight="1">
      <x:c r="A35" s="20" t="str">
        <x:v>奖励门</x:v>
      </x:c>
      <x:c r="B35" s="20" t="str">
        <x:v>占区宽度减量</x:v>
      </x:c>
      <x:c r="C35" s="39" t="n">
        <x:v>18</x:v>
      </x:c>
      <x:c r="D35" s="20" t="str">
        <x:v>px</x:v>
      </x:c>
      <x:c r="E35" s="23" t="str">
        <x:v>占区数×区宽-18</x:v>
      </x:c>
      <x:c r="F35" s="23" t="str">
        <x:v>scripts/upgrade_drop.gd:122</x:v>
      </x:c>
      <x:c r="G35" s="87"/>
    </x:row>
    <x:row r="36" ht="30" customHeight="1">
      <x:c r="A36" s="20" t="str">
        <x:v>投射物</x:v>
      </x:c>
      <x:c r="B36" s="20" t="str">
        <x:v>每份角度间隔</x:v>
      </x:c>
      <x:c r="C36" s="39" t="n">
        <x:v>0.075</x:v>
      </x:c>
      <x:c r="D36" s="20" t="str">
        <x:v>rad</x:v>
      </x:c>
      <x:c r="E36" s="23" t="str">
        <x:v>多份攻击以中线对称散开</x:v>
      </x:c>
      <x:c r="F36" s="23" t="str">
        <x:v>scripts/weapon_controller.gd:57</x:v>
      </x:c>
      <x:c r="G36" s="87"/>
    </x:row>
    <x:row r="37" ht="30" customHeight="1">
      <x:c r="A37" s="20" t="str">
        <x:v>投射物</x:v>
      </x:c>
      <x:c r="B37" s="20" t="str">
        <x:v>出生 Y 偏移</x:v>
      </x:c>
      <x:c r="C37" s="39" t="n">
        <x:v>-135</x:v>
      </x:c>
      <x:c r="D37" s="20" t="str">
        <x:v>px</x:v>
      </x:c>
      <x:c r="E37" s="23" t="str">
        <x:v>相对餐车中心</x:v>
      </x:c>
      <x:c r="F37" s="23" t="str">
        <x:v>scripts/weapon_controller.gd:59</x:v>
      </x:c>
      <x:c r="G37" s="87"/>
    </x:row>
    <x:row r="38" ht="30" customHeight="1">
      <x:c r="A38" s="20" t="str">
        <x:v>投射物</x:v>
      </x:c>
      <x:c r="B38" s="20" t="str">
        <x:v>上边界</x:v>
      </x:c>
      <x:c r="C38" s="39" t="n">
        <x:v>-720</x:v>
      </x:c>
      <x:c r="D38" s="20" t="str">
        <x:v>px</x:v>
      </x:c>
      <x:c r="E38" s="23" t="str">
        <x:v>超出后销毁</x:v>
      </x:c>
      <x:c r="F38" s="23" t="str">
        <x:v>scripts/playfield.gd:13</x:v>
      </x:c>
      <x:c r="G38" s="87"/>
    </x:row>
    <x:row r="39" ht="30" customHeight="1">
      <x:c r="A39" s="20" t="str">
        <x:v>投射物</x:v>
      </x:c>
      <x:c r="B39" s="20" t="str">
        <x:v>下边界</x:v>
      </x:c>
      <x:c r="C39" s="39" t="n">
        <x:v>1450</x:v>
      </x:c>
      <x:c r="D39" s="20" t="str">
        <x:v>px</x:v>
      </x:c>
      <x:c r="E39" s="23" t="str">
        <x:v>超出后销毁</x:v>
      </x:c>
      <x:c r="F39" s="23" t="str">
        <x:v>scripts/projectile.gd:63</x:v>
      </x:c>
      <x:c r="G39" s="87"/>
    </x:row>
    <x:row r="40" ht="30" customHeight="1">
      <x:c r="A40" s="20" t="str">
        <x:v>投射物</x:v>
      </x:c>
      <x:c r="B40" s="20" t="str">
        <x:v>左边界</x:v>
      </x:c>
      <x:c r="C40" s="39" t="n">
        <x:v>-120</x:v>
      </x:c>
      <x:c r="D40" s="20" t="str">
        <x:v>px</x:v>
      </x:c>
      <x:c r="E40" s="23" t="str">
        <x:v>超出后销毁</x:v>
      </x:c>
      <x:c r="F40" s="23" t="str">
        <x:v>scripts/projectile.gd:63</x:v>
      </x:c>
      <x:c r="G40" s="87"/>
    </x:row>
    <x:row r="41" ht="30" customHeight="1">
      <x:c r="A41" s="20" t="str">
        <x:v>投射物</x:v>
      </x:c>
      <x:c r="B41" s="20" t="str">
        <x:v>右边界</x:v>
      </x:c>
      <x:c r="C41" s="39" t="n">
        <x:v>840</x:v>
      </x:c>
      <x:c r="D41" s="20" t="str">
        <x:v>px</x:v>
      </x:c>
      <x:c r="E41" s="23" t="str">
        <x:v>超出后销毁</x:v>
      </x:c>
      <x:c r="F41" s="23" t="str">
        <x:v>scripts/projectile.gd:63</x:v>
      </x:c>
      <x:c r="G41" s="87"/>
    </x:row>
    <x:row r="42" ht="30" customHeight="1">
      <x:c r="A42" s="20" t="str">
        <x:v>食客</x:v>
      </x:c>
      <x:c r="B42" s="20" t="str">
        <x:v>远程攻击起始 Y</x:v>
      </x:c>
      <x:c r="C42" s="39" t="n">
        <x:v>180</x:v>
      </x:c>
      <x:c r="D42" s="20" t="str">
        <x:v>px</x:v>
      </x:c>
      <x:c r="E42" s="23" t="str">
        <x:v>进入该纵向区间后计时</x:v>
      </x:c>
      <x:c r="F42" s="23" t="str">
        <x:v>scripts/customer.gd:48</x:v>
      </x:c>
      <x:c r="G42" s="87"/>
    </x:row>
    <x:row r="43" ht="30" customHeight="1">
      <x:c r="A43" s="20" t="str">
        <x:v>食客</x:v>
      </x:c>
      <x:c r="B43" s="20" t="str">
        <x:v>远程攻击结束 Y</x:v>
      </x:c>
      <x:c r="C43" s="39" t="n">
        <x:v>820</x:v>
      </x:c>
      <x:c r="D43" s="20" t="str">
        <x:v>px</x:v>
      </x:c>
      <x:c r="E43" s="23" t="str">
        <x:v>离开区间后不再攻击</x:v>
      </x:c>
      <x:c r="F43" s="23" t="str">
        <x:v>scripts/customer.gd:48</x:v>
      </x:c>
      <x:c r="G43" s="87"/>
    </x:row>
    <x:row r="44" ht="30" customHeight="1">
      <x:c r="A44" s="20" t="str">
        <x:v>食客</x:v>
      </x:c>
      <x:c r="B44" s="20" t="str">
        <x:v>最小命中半径</x:v>
      </x:c>
      <x:c r="C44" s="39" t="n">
        <x:v>44</x:v>
      </x:c>
      <x:c r="D44" s="20" t="str">
        <x:v>px</x:v>
      </x:c>
      <x:c r="E44" s="23" t="str">
        <x:v>投射物碰撞</x:v>
      </x:c>
      <x:c r="F44" s="23" t="str">
        <x:v>scripts/customer.gd:80</x:v>
      </x:c>
      <x:c r="G44" s="87"/>
    </x:row>
    <x:row r="45" ht="30" customHeight="1">
      <x:c r="A45" s="20" t="str">
        <x:v>食客</x:v>
      </x:c>
      <x:c r="B45" s="20" t="str">
        <x:v>占区命中系数</x:v>
      </x:c>
      <x:c r="C45" s="39" t="n">
        <x:v>0.42</x:v>
      </x:c>
      <x:c r="D45" s="20" t="str">
        <x:v>倍</x:v>
      </x:c>
      <x:c r="E45" s="23" t="str">
        <x:v>占区数×区宽×0.42</x:v>
      </x:c>
      <x:c r="F45" s="23" t="str">
        <x:v>scripts/customer.gd:80</x:v>
      </x:c>
      <x:c r="G45" s="87"/>
    </x:row>
    <x:row r="46" ht="30" customHeight="1">
      <x:c r="A46" s="20" t="str">
        <x:v>食客</x:v>
      </x:c>
      <x:c r="B46" s="20" t="str">
        <x:v>最小主体宽</x:v>
      </x:c>
      <x:c r="C46" s="39" t="n">
        <x:v>82</x:v>
      </x:c>
      <x:c r="D46" s="20" t="str">
        <x:v>px</x:v>
      </x:c>
      <x:c r="E46" s="23" t="str">
        <x:v>接触餐车的宽度下限</x:v>
      </x:c>
      <x:c r="F46" s="23" t="str">
        <x:v>scripts/customer.gd:113</x:v>
      </x:c>
      <x:c r="G46" s="87"/>
    </x:row>
    <x:row r="47" ht="30" customHeight="1">
      <x:c r="A47" s="20" t="str">
        <x:v>食客</x:v>
      </x:c>
      <x:c r="B47" s="20" t="str">
        <x:v>占区宽度减量</x:v>
      </x:c>
      <x:c r="C47" s="39" t="n">
        <x:v>18</x:v>
      </x:c>
      <x:c r="D47" s="20" t="str">
        <x:v>px</x:v>
      </x:c>
      <x:c r="E47" s="23" t="str">
        <x:v>占区数×区宽-18</x:v>
      </x:c>
      <x:c r="F47" s="23" t="str">
        <x:v>scripts/customer.gd:113</x:v>
      </x:c>
      <x:c r="G47" s="87"/>
    </x:row>
    <x:row r="48" ht="30" customHeight="1">
      <x:c r="A48" s="21" t="str">
        <x:v>食客</x:v>
      </x:c>
      <x:c r="B48" s="21" t="str">
        <x:v>接触框高</x:v>
      </x:c>
      <x:c r="C48" s="40" t="n">
        <x:v>84</x:v>
      </x:c>
      <x:c r="D48" s="21" t="str">
        <x:v>px</x:v>
      </x:c>
      <x:c r="E48" s="24" t="str">
        <x:v>相对中心 -42..42</x:v>
      </x:c>
      <x:c r="F48" s="24" t="str">
        <x:v>scripts/customer.gd:85</x:v>
      </x:c>
      <x:c r="G48" s="87"/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3ea470a8e8db43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34" hidden="0" customWidth="1"/>
    <x:col min="4" max="4" width="26" hidden="0" customWidth="1"/>
    <x:col min="5" max="5" width="24" hidden="0" customWidth="1"/>
    <x:col min="6" max="6" width="28" hidden="0" customWidth="1"/>
    <x:col min="7" max="7" width="46" hidden="0" customWidth="1"/>
  </x:cols>
  <x:sheetData>
    <x:row r="1" ht="40" customHeight="1">
      <x:c r="A1" s="3" t="str">
        <x:v>当前原型特殊三选一</x:v>
      </x:c>
      <x:c r="B1" s="3"/>
      <x:c r="C1" s="3"/>
      <x:c r="D1" s="3"/>
      <x:c r="E1" s="3"/>
      <x:c r="F1" s="3"/>
      <x:c r="G1" s="3"/>
      <x:c r="H1" s="3"/>
    </x:row>
    <x:row r="2" ht="24" customHeight="1">
      <x:c r="A2" s="9" t="str">
        <x:v>当前竖切片只有精英满足后的一次固定三选一；尚未实现 GDD 目标中的混合随机特殊池、6 只精英与 2 场 Boss 奖励链。</x:v>
      </x:c>
      <x:c r="B2" s="9"/>
      <x:c r="C2" s="9"/>
      <x:c r="D2" s="9"/>
      <x:c r="E2" s="9"/>
      <x:c r="F2" s="9"/>
      <x:c r="G2" s="9"/>
      <x:c r="H2" s="9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</x:row>
    <x:row r="4">
      <x:c r="A4" s="87"/>
      <x:c r="B4" s="87"/>
      <x:c r="C4" s="87"/>
      <x:c r="D4" s="87"/>
      <x:c r="E4" s="87"/>
      <x:c r="F4" s="87"/>
      <x:c r="G4" s="87"/>
      <x:c r="H4" s="87"/>
    </x:row>
    <x:row r="5" ht="30" customHeight="1">
      <x:c r="A5" s="16" t="str">
        <x:v>选择 ID</x:v>
      </x:c>
      <x:c r="B5" s="16" t="str">
        <x:v>显示/效果</x:v>
      </x:c>
      <x:c r="C5" s="16" t="str">
        <x:v>数值变化</x:v>
      </x:c>
      <x:c r="D5" s="16" t="str">
        <x:v>作用范围</x:v>
      </x:c>
      <x:c r="E5" s="16" t="str">
        <x:v>是否可重复</x:v>
      </x:c>
      <x:c r="F5" s="16" t="str">
        <x:v>来源</x:v>
      </x:c>
      <x:c r="G5" s="16" t="str">
        <x:v>备注</x:v>
      </x:c>
      <x:c r="H5" s="87"/>
    </x:row>
    <x:row r="6" ht="48" customHeight="1">
      <x:c r="A6" s="19" t="str">
        <x:v>baguette</x:v>
      </x:c>
      <x:c r="B6" s="22" t="str">
        <x:v>获得法棍</x:v>
      </x:c>
      <x:c r="C6" s="80" t="str">
        <x:v>新增食材；法棍最大命中数=3</x:v>
      </x:c>
      <x:c r="D6" s="22" t="str">
        <x:v>当前局</x:v>
      </x:c>
      <x:c r="E6" s="22" t="str">
        <x:v>同食材不会重复加入</x:v>
      </x:c>
      <x:c r="F6" s="22" t="str">
        <x:v>scripts/run.gd:524-527</x:v>
      </x:c>
      <x:c r="G6" s="22" t="str">
        <x:v>食材数值见“食材”工作表</x:v>
      </x:c>
      <x:c r="H6" s="87"/>
    </x:row>
    <x:row r="7" ht="48" customHeight="1">
      <x:c r="A7" s="20" t="str">
        <x:v>serving</x:v>
      </x:c>
      <x:c r="B7" s="23" t="str">
        <x:v>全局加量</x:v>
      </x:c>
      <x:c r="C7" s="81" t="str">
        <x:v>+1 份/层</x:v>
      </x:c>
      <x:c r="D7" s="23" t="str">
        <x:v>全部当前与未来食材</x:v>
      </x:c>
      <x:c r="E7" s="23" t="str">
        <x:v>可以</x:v>
      </x:c>
      <x:c r="F7" s="23" t="str">
        <x:v>scripts/run.gd:528-531</x:v>
      </x:c>
      <x:c r="G7" s="23" t="str">
        <x:v>每份保持完整单次满足值</x:v>
      </x:c>
      <x:c r="H7" s="87"/>
    </x:row>
    <x:row r="8" ht="48" customHeight="1">
      <x:c r="A8" s="21" t="str">
        <x:v>potato_aim</x:v>
      </x:c>
      <x:c r="B8" s="24" t="str">
        <x:v>土豆瞄准投喂</x:v>
      </x:c>
      <x:c r="C8" s="82" t="str">
        <x:v>固定向前 → 发射时目标快照</x:v>
      </x:c>
      <x:c r="D8" s="24" t="str">
        <x:v>土豆</x:v>
      </x:c>
      <x:c r="E8" s="24" t="str">
        <x:v>状态数组防止重复启用</x:v>
      </x:c>
      <x:c r="F8" s="24" t="str">
        <x:v>scripts/run.gd:532-535</x:v>
      </x:c>
      <x:c r="G8" s="24" t="str">
        <x:v>只改变发射方向，不开启飞行追踪</x:v>
      </x:c>
      <x:c r="H8" s="87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49f2358721804cb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34" hidden="0" customWidth="1"/>
    <x:col min="5" max="5" width="28" hidden="0" customWidth="1"/>
    <x:col min="6" max="6" width="42" hidden="0" customWidth="1"/>
    <x:col min="7" max="7" width="42" hidden="0" customWidth="1"/>
  </x:cols>
  <x:sheetData>
    <x:row r="1" ht="40" customHeight="1">
      <x:c r="A1" s="3" t="str">
        <x:v>当前运行公式与数值关系</x:v>
      </x:c>
      <x:c r="B1" s="3"/>
      <x:c r="C1" s="3"/>
      <x:c r="D1" s="3"/>
      <x:c r="E1" s="3"/>
      <x:c r="F1" s="3"/>
      <x:c r="G1" s="3"/>
      <x:c r="H1" s="3"/>
    </x:row>
    <x:row r="2" ht="24" customHeight="1">
      <x:c r="A2" s="9" t="str">
        <x:v>此页帮助追踪数值如何参与运行。公式文本使用业务记号；示例值用于理解，不代表新的制作规格。</x:v>
      </x:c>
      <x:c r="B2" s="9"/>
      <x:c r="C2" s="9"/>
      <x:c r="D2" s="9"/>
      <x:c r="E2" s="9"/>
      <x:c r="F2" s="9"/>
      <x:c r="G2" s="9"/>
      <x:c r="H2" s="9"/>
    </x:row>
    <x:row r="3" ht="24" customHeight="1">
      <x:c r="A3" s="10"/>
      <x:c r="B3" s="10"/>
      <x:c r="C3" s="10"/>
      <x:c r="D3" s="10"/>
      <x:c r="E3" s="10"/>
      <x:c r="F3" s="10"/>
      <x:c r="G3" s="10"/>
      <x:c r="H3" s="10"/>
    </x:row>
    <x:row r="4">
      <x:c r="A4" s="87"/>
      <x:c r="B4" s="87"/>
      <x:c r="C4" s="87"/>
      <x:c r="D4" s="87"/>
      <x:c r="E4" s="87"/>
      <x:c r="F4" s="87"/>
      <x:c r="G4" s="87"/>
      <x:c r="H4" s="87"/>
    </x:row>
    <x:row r="5" ht="30" customHeight="1">
      <x:c r="A5" s="16" t="str">
        <x:v>系统</x:v>
      </x:c>
      <x:c r="B5" s="16" t="str">
        <x:v>规则</x:v>
      </x:c>
      <x:c r="C5" s="16" t="str">
        <x:v>业务公式</x:v>
      </x:c>
      <x:c r="D5" s="16" t="str">
        <x:v>当前示例输入</x:v>
      </x:c>
      <x:c r="E5" s="16" t="str">
        <x:v>示例结果</x:v>
      </x:c>
      <x:c r="F5" s="16" t="str">
        <x:v>来源</x:v>
      </x:c>
      <x:c r="G5" s="16" t="str">
        <x:v>说明</x:v>
      </x:c>
      <x:c r="H5" s="87"/>
    </x:row>
    <x:row r="6" ht="42" customHeight="1">
      <x:c r="A6" s="19" t="str">
        <x:v>胃口曲线</x:v>
      </x:c>
      <x:c r="B6" s="19" t="str">
        <x:v>基准胃口</x:v>
      </x:c>
      <x:c r="C6" s="22" t="str">
        <x:v>round(lerp(起点,终点,pow(clamp(t/结束时间),指数)))</x:v>
      </x:c>
      <x:c r="D6" s="22" t="str">
        <x:v>t=67.5s</x:v>
      </x:c>
      <x:c r="E6" s="83" t="n">
        <x:f>ROUND('时间轴'!$B$7+('时间轴'!$B$8-'时间轴'!$B$7)*POWER(MIN(MAX(67.5/'时间轴'!$B$9,0),1),'时间轴'!$B$10),0)</x:f>
        <x:v>112</x:v>
      </x:c>
      <x:c r="F6" s="22" t="str">
        <x:v>scripts/data/encounter_timeline.gd:20-24</x:v>
      </x:c>
      <x:c r="G6" s="22" t="str">
        <x:v>引用“时间轴”参数</x:v>
      </x:c>
      <x:c r="H6" s="87"/>
    </x:row>
    <x:row r="7" ht="42" customHeight="1">
      <x:c r="A7" s="20" t="str">
        <x:v>普通食客</x:v>
      </x:c>
      <x:c r="B7" s="20" t="str">
        <x:v>实际胃口</x:v>
      </x:c>
      <x:c r="C7" s="23" t="str">
        <x:v>round(基准胃口×食客倍率×(1+p))</x:v>
      </x:c>
      <x:c r="D7" s="23" t="str">
        <x:v>基准=20，普通倍率=1，p=0.5</x:v>
      </x:c>
      <x:c r="E7" s="84" t="n">
        <x:f>ROUND(20*1*(1+0.5),0)</x:f>
        <x:v>30</x:v>
      </x:c>
      <x:c r="F7" s="23" t="str">
        <x:v>scripts/data/customer_data.gd:25-31</x:v>
      </x:c>
      <x:c r="G7" s="23" t="str">
        <x:v>生成时锁定</x:v>
      </x:c>
      <x:c r="H7" s="87"/>
    </x:row>
    <x:row r="8" ht="42" customHeight="1">
      <x:c r="A8" s="20" t="str">
        <x:v>精英</x:v>
      </x:c>
      <x:c r="B8" s="20" t="str">
        <x:v>实际胃口</x:v>
      </x:c>
      <x:c r="C8" s="23" t="str">
        <x:v>round(基准胃口×食客倍率)</x:v>
      </x:c>
      <x:c r="D8" s="23" t="str">
        <x:v>基准=20，倍率=5.625</x:v>
      </x:c>
      <x:c r="E8" s="84" t="n">
        <x:f>ROUND(20*5.625,0)</x:f>
        <x:v>113</x:v>
      </x:c>
      <x:c r="F8" s="23" t="str">
        <x:v>scripts/run.gd:414-415</x:v>
      </x:c>
      <x:c r="G8" s="23" t="str">
        <x:v>不使用随机 p</x:v>
      </x:c>
      <x:c r="H8" s="87"/>
    </x:row>
    <x:row r="9" ht="42" customHeight="1">
      <x:c r="A9" s="20" t="str">
        <x:v>伤害</x:v>
      </x:c>
      <x:c r="B9" s="20" t="str">
        <x:v>漏客/精英接触</x:v>
      </x:c>
      <x:c r="C9" s="23" t="str">
        <x:v>剩余胃口</x:v>
      </x:c>
      <x:c r="D9" s="23" t="str">
        <x:v>剩余胃口=48</x:v>
      </x:c>
      <x:c r="E9" s="84" t="n">
        <x:f>48</x:f>
        <x:v>48</x:v>
      </x:c>
      <x:c r="F9" s="23" t="str">
        <x:v>scripts/run.gd:460-463</x:v>
      </x:c>
      <x:c r="G9" s="23" t="str">
        <x:v>实际扣除不超过当前耐久</x:v>
      </x:c>
      <x:c r="H9" s="87"/>
    </x:row>
    <x:row r="10" ht="42" customHeight="1">
      <x:c r="A10" s="20" t="str">
        <x:v>伤害</x:v>
      </x:c>
      <x:c r="B10" s="20" t="str">
        <x:v>远程食客</x:v>
      </x:c>
      <x:c r="C10" s="23" t="str">
        <x:v>剩余胃口×attack_ratio</x:v>
      </x:c>
      <x:c r="D10" s="23" t="str">
        <x:v>剩余胃口=100，比例=8%</x:v>
      </x:c>
      <x:c r="E10" s="84" t="n">
        <x:f>100*8%</x:f>
        <x:v>8</x:v>
      </x:c>
      <x:c r="F10" s="23" t="str">
        <x:v>scripts/customer.gd:52</x:v>
      </x:c>
      <x:c r="G10" s="23" t="str">
        <x:v>攻击间隔见食客表</x:v>
      </x:c>
      <x:c r="H10" s="87"/>
    </x:row>
    <x:row r="11" ht="42" customHeight="1">
      <x:c r="A11" s="20" t="str">
        <x:v>伤害</x:v>
      </x:c>
      <x:c r="B11" s="20" t="str">
        <x:v>Boss 直线</x:v>
      </x:c>
      <x:c r="C11" s="23" t="str">
        <x:v>Boss剩余胃口×line_attack_ratio</x:v>
      </x:c>
      <x:c r="D11" s="23" t="str">
        <x:v>剩余胃口=2000，比例=2.5%</x:v>
      </x:c>
      <x:c r="E11" s="84" t="n">
        <x:f>2000*2.5%</x:f>
        <x:v>50</x:v>
      </x:c>
      <x:c r="F11" s="23" t="str">
        <x:v>scripts/boss.gd:55-56</x:v>
      </x:c>
      <x:c r="G11" s="23" t="str">
        <x:v>命中后仍受 1s 无敌约束</x:v>
      </x:c>
      <x:c r="H11" s="87"/>
    </x:row>
    <x:row r="12" ht="42" customHeight="1">
      <x:c r="A12" s="20" t="str">
        <x:v>伤害</x:v>
      </x:c>
      <x:c r="B12" s="20" t="str">
        <x:v>Boss 范围</x:v>
      </x:c>
      <x:c r="C12" s="23" t="str">
        <x:v>Boss剩余胃口×area_attack_ratio</x:v>
      </x:c>
      <x:c r="D12" s="23" t="str">
        <x:v>剩余胃口=2000，比例=3.6%</x:v>
      </x:c>
      <x:c r="E12" s="84" t="n">
        <x:f>2000*3.6%</x:f>
        <x:v>72.00000000000001</x:v>
      </x:c>
      <x:c r="F12" s="23" t="str">
        <x:v>scripts/boss.gd:60-61</x:v>
      </x:c>
      <x:c r="G12" s="23" t="str">
        <x:v>命中后仍受 1s 无敌约束</x:v>
      </x:c>
      <x:c r="H12" s="87"/>
    </x:row>
    <x:row r="13" ht="42" customHeight="1">
      <x:c r="A13" s="20" t="str">
        <x:v>普通门</x:v>
      </x:c>
      <x:c r="B13" s="20" t="str">
        <x:v>公开基础血量</x:v>
      </x:c>
      <x:c r="C13" s="23" t="str">
        <x:v>B×(1+p)</x:v>
      </x:c>
      <x:c r="D13" s="23" t="str">
        <x:v>B=100，p=0.34</x:v>
      </x:c>
      <x:c r="E13" s="84" t="n">
        <x:f>100*(1+0.34)</x:f>
        <x:v>134</x:v>
      </x:c>
      <x:c r="F13" s="23" t="str">
        <x:v>scripts/upgrade_gate.gd:45-46</x:v>
      </x:c>
      <x:c r="G13" s="23" t="str">
        <x:v>撞门时仅剩余公开层造成损伤</x:v>
      </x:c>
      <x:c r="H13" s="87"/>
    </x:row>
    <x:row r="14" ht="42" customHeight="1">
      <x:c r="A14" s="20" t="str">
        <x:v>普通门</x:v>
      </x:c>
      <x:c r="B14" s="20" t="str">
        <x:v>隐藏升值血量</x:v>
      </x:c>
      <x:c r="C14" s="23" t="str">
        <x:v>B×(1-p)</x:v>
      </x:c>
      <x:c r="D14" s="23" t="str">
        <x:v>B=100，p=0.34</x:v>
      </x:c>
      <x:c r="E14" s="84" t="n">
        <x:f>100*(1-0.34)</x:f>
        <x:v>65.99999999999999</x:v>
      </x:c>
      <x:c r="F14" s="23" t="str">
        <x:v>scripts/upgrade_gate.gd:47-48</x:v>
      </x:c>
      <x:c r="G14" s="23" t="str">
        <x:v>公开层击破后的下一次攻击才开始消耗</x:v>
      </x:c>
      <x:c r="H14" s="87"/>
    </x:row>
    <x:row r="15" ht="42" customHeight="1">
      <x:c r="A15" s="20" t="str">
        <x:v>奖励门</x:v>
      </x:c>
      <x:c r="B15" s="20" t="str">
        <x:v>隐藏升值血量</x:v>
      </x:c>
      <x:c r="C15" s="23" t="str">
        <x:v>B×(1-p)</x:v>
      </x:c>
      <x:c r="D15" s="23" t="str">
        <x:v>B=100，p=0.34</x:v>
      </x:c>
      <x:c r="E15" s="84" t="n">
        <x:f>100*(1-0.34)</x:f>
        <x:v>65.99999999999999</x:v>
      </x:c>
      <x:c r="F15" s="23" t="str">
        <x:v>scripts/upgrade_drop.gd:35</x:v>
      </x:c>
      <x:c r="G15" s="23" t="str">
        <x:v>没有公开基础层</x:v>
      </x:c>
      <x:c r="H15" s="87"/>
    </x:row>
    <x:row r="16" ht="42" customHeight="1">
      <x:c r="A16" s="20" t="str">
        <x:v>强化</x:v>
      </x:c>
      <x:c r="B16" s="20" t="str">
        <x:v>数值映射</x:v>
      </x:c>
      <x:c r="C16" s="23" t="str">
        <x:v>min+(max-min)×p</x:v>
      </x:c>
      <x:c r="D16" s="23" t="str">
        <x:v>糖 5%~45%，p=0.5</x:v>
      </x:c>
      <x:c r="E16" s="85" t="n">
        <x:f>5%+(45%-5%)*0.5</x:f>
        <x:v>0.25</x:v>
      </x:c>
      <x:c r="F16" s="23" t="str">
        <x:v>scripts/data/upgrade_data.gd:41-45</x:v>
      </x:c>
      <x:c r="G16" s="23" t="str">
        <x:v>线性映射</x:v>
      </x:c>
      <x:c r="H16" s="87"/>
    </x:row>
    <x:row r="17" ht="42" customHeight="1">
      <x:c r="A17" s="20" t="str">
        <x:v>强化</x:v>
      </x:c>
      <x:c r="B17" s="20" t="str">
        <x:v>正向百分比累计</x:v>
      </x:c>
      <x:c r="C17" s="23" t="str">
        <x:v>倍率×(1+本次值)</x:v>
      </x:c>
      <x:c r="D17" s="23" t="str">
        <x:v>糖 +50% 连续两次</x:v>
      </x:c>
      <x:c r="E17" s="84" t="n">
        <x:f>1.5*1.5</x:f>
        <x:v>2.25</x:v>
      </x:c>
      <x:c r="F17" s="23" t="str">
        <x:v>scripts/data/run_state.gd:84-85</x:v>
      </x:c>
      <x:c r="G17" s="23" t="str">
        <x:v>逐次乘算</x:v>
      </x:c>
      <x:c r="H17" s="87"/>
    </x:row>
    <x:row r="18" ht="42" customHeight="1">
      <x:c r="A18" s="20" t="str">
        <x:v>强化</x:v>
      </x:c>
      <x:c r="B18" s="20" t="str">
        <x:v>攻击间隔累计</x:v>
      </x:c>
      <x:c r="C18" s="23" t="str">
        <x:v>间隔倍率×max(0,1-本次值)</x:v>
      </x:c>
      <x:c r="D18" s="23" t="str">
        <x:v>快速备餐 -20% 连续两次</x:v>
      </x:c>
      <x:c r="E18" s="85" t="n">
        <x:f>0.8*0.8</x:f>
        <x:v>0.6400000000000001</x:v>
      </x:c>
      <x:c r="F18" s="23" t="str">
        <x:v>scripts/data/run_state.gd:86-87</x:v>
      </x:c>
      <x:c r="G18" s="23" t="str">
        <x:v>最终仍受 1/60s 下限</x:v>
      </x:c>
      <x:c r="H18" s="87"/>
    </x:row>
    <x:row r="19" ht="42" customHeight="1">
      <x:c r="A19" s="20" t="str">
        <x:v>强化</x:v>
      </x:c>
      <x:c r="B19" s="20" t="str">
        <x:v>坚固餐车</x:v>
      </x:c>
      <x:c r="C19" s="23" t="str">
        <x:v>最大耐久+=值；当前耐久+=值</x:v>
      </x:c>
      <x:c r="D19" s="23" t="str">
        <x:v>初始100，取得+10</x:v>
      </x:c>
      <x:c r="E19" s="84" t="n">
        <x:f>100+10</x:f>
        <x:v>110</x:v>
      </x:c>
      <x:c r="F19" s="23" t="str">
        <x:v>scripts/data/run_state.gd:96-99</x:v>
      </x:c>
      <x:c r="G19" s="23" t="str">
        <x:v>固定点数加算</x:v>
      </x:c>
      <x:c r="H19" s="87"/>
    </x:row>
    <x:row r="20" ht="42" customHeight="1">
      <x:c r="A20" s="20" t="str">
        <x:v>强化</x:v>
      </x:c>
      <x:c r="B20" s="20" t="str">
        <x:v>现场修理</x:v>
      </x:c>
      <x:c r="C20" s="23" t="str">
        <x:v>当前耐久=min(最大耐久,当前+最大耐久×值)</x:v>
      </x:c>
      <x:c r="D20" s="23" t="str">
        <x:v>最大110，当前70，修理20%</x:v>
      </x:c>
      <x:c r="E20" s="84" t="n">
        <x:f>MIN(110,70+110*20%)</x:f>
        <x:v>92</x:v>
      </x:c>
      <x:c r="F20" s="23" t="str">
        <x:v>scripts/data/run_state.gd:100-101,114-116</x:v>
      </x:c>
      <x:c r="G20" s="23" t="str">
        <x:v>一次性，不进入累计倍率</x:v>
      </x:c>
      <x:c r="H20" s="87"/>
    </x:row>
    <x:row r="21" ht="42" customHeight="1">
      <x:c r="A21" s="20" t="str">
        <x:v>食材</x:v>
      </x:c>
      <x:c r="B21" s="20" t="str">
        <x:v>有效满足</x:v>
      </x:c>
      <x:c r="C21" s="23" t="str">
        <x:v>基础满足×满足倍率</x:v>
      </x:c>
      <x:c r="D21" s="23" t="str">
        <x:v>土豆10，倍率1.5</x:v>
      </x:c>
      <x:c r="E21" s="84" t="n">
        <x:f>10*1.5</x:f>
        <x:v>15</x:v>
      </x:c>
      <x:c r="F21" s="23" t="str">
        <x:v>scripts/data/run_state.gd:119-120</x:v>
      </x:c>
      <x:c r="G21" s="23" t="str">
        <x:v>全局作用于当前与未来食材</x:v>
      </x:c>
      <x:c r="H21" s="87"/>
    </x:row>
    <x:row r="22" ht="42" customHeight="1">
      <x:c r="A22" s="20" t="str">
        <x:v>食材</x:v>
      </x:c>
      <x:c r="B22" s="20" t="str">
        <x:v>有效间隔</x:v>
      </x:c>
      <x:c r="C22" s="23" t="str">
        <x:v>max(1/60,基础间隔×间隔倍率)</x:v>
      </x:c>
      <x:c r="D22" s="23" t="str">
        <x:v>土豆0.8，倍率0.64</x:v>
      </x:c>
      <x:c r="E22" s="84" t="n">
        <x:f>MAX(1/60,0.8*0.64)</x:f>
        <x:v>0.512</x:v>
      </x:c>
      <x:c r="F22" s="23" t="str">
        <x:v>scripts/data/run_state.gd:123-124</x:v>
      </x:c>
      <x:c r="G22" s="23" t="str">
        <x:v>技术下限</x:v>
      </x:c>
      <x:c r="H22" s="87"/>
    </x:row>
    <x:row r="23" ht="42" customHeight="1">
      <x:c r="A23" s="21" t="str">
        <x:v>投射物</x:v>
      </x:c>
      <x:c r="B23" s="21" t="str">
        <x:v>多份散射</x:v>
      </x:c>
      <x:c r="C23" s="24" t="str">
        <x:v>(索引-(份数-1)/2)×0.075rad</x:v>
      </x:c>
      <x:c r="D23" s="24" t="str">
        <x:v>3份</x:v>
      </x:c>
      <x:c r="E23" s="86" t="str">
        <x:v>-0.075 / 0 / +0.075 rad</x:v>
      </x:c>
      <x:c r="F23" s="24" t="str">
        <x:v>scripts/weapon_controller.gd:55-58</x:v>
      </x:c>
      <x:c r="G23" s="24" t="str">
        <x:v>以当前基础方向对称</x:v>
      </x:c>
      <x:c r="H23" s="87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59684884ebfd414d"/>
  </x:tableParts>
</x:worksheet>
</file>