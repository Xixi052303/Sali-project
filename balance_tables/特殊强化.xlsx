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特殊强化预览" sheetId="1" state="visible" r:id="rId1"/>
    <sheet xmlns:r="http://schemas.openxmlformats.org/officeDocument/2006/relationships" name="特殊强化" sheetId="2" state="visible" r:id="rId2"/>
    <sheet xmlns:r="http://schemas.openxmlformats.org/officeDocument/2006/relationships" name="全局规则" sheetId="3" state="visible" r:id="rId3"/>
    <sheet xmlns:r="http://schemas.openxmlformats.org/officeDocument/2006/relationships" name="说明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icrosoft YaHei"/>
      <charset val="134"/>
      <family val="2"/>
      <b val="1"/>
      <color rgb="FFFFFFFF"/>
      <sz val="18"/>
    </font>
    <font>
      <name val="Microsoft YaHei"/>
      <charset val="134"/>
      <family val="2"/>
      <color rgb="FF243238"/>
      <sz val="10"/>
    </font>
    <font>
      <name val="Microsoft YaHei"/>
      <charset val="134"/>
      <family val="2"/>
      <b val="1"/>
      <color rgb="FFFFFFFF"/>
      <sz val="11"/>
    </font>
    <font>
      <name val="Microsoft YaHei"/>
      <charset val="134"/>
      <family val="2"/>
      <b val="1"/>
      <color rgb="FFFFFFFF"/>
      <sz val="10"/>
    </font>
    <font>
      <name val="Carlito"/>
      <sz val="11"/>
    </font>
    <font>
      <name val="宋体"/>
      <charset val="134"/>
      <family val="3"/>
      <sz val="9"/>
    </font>
  </fonts>
  <fills count="8">
    <fill>
      <patternFill/>
    </fill>
    <fill>
      <patternFill patternType="gray125"/>
    </fill>
    <fill>
      <patternFill patternType="solid">
        <fgColor rgb="FF243238"/>
      </patternFill>
    </fill>
    <fill>
      <patternFill patternType="solid">
        <fgColor rgb="FFF5F7F6"/>
      </patternFill>
    </fill>
    <fill>
      <patternFill patternType="solid">
        <fgColor rgb="FF2D6F6A"/>
      </patternFill>
    </fill>
    <fill>
      <patternFill patternType="solid">
        <fgColor rgb="FFE7F0F8"/>
      </patternFill>
    </fill>
    <fill>
      <patternFill patternType="solid">
        <fgColor rgb="FFE8F3EC"/>
      </patternFill>
    </fill>
    <fill>
      <patternFill patternType="solid">
        <fgColor rgb="FFFFF3CD"/>
      </patternFill>
    </fill>
  </fills>
  <borders count="4">
    <border>
      <left/>
      <right/>
      <top/>
      <bottom/>
      <diagonal/>
    </border>
    <border>
      <left/>
      <right/>
      <top/>
      <bottom style="thin">
        <color rgb="FFD7DDD9"/>
      </bottom>
      <diagonal/>
    </border>
    <border>
      <left/>
      <right/>
      <top style="thin">
        <color rgb="FFD7DDD9"/>
      </top>
      <bottom/>
      <diagonal/>
    </border>
    <border>
      <left/>
      <right/>
      <top style="thin">
        <color rgb="FFD7DDD9"/>
      </top>
      <bottom style="thin">
        <color rgb="FFD7DDD9"/>
      </bottom>
      <diagonal/>
    </border>
  </borders>
  <cellStyleXfs count="2">
    <xf numFmtId="0" fontId="5" fillId="0" borderId="0"/>
    <xf numFmtId="0" fontId="5" fillId="0" borderId="0"/>
  </cellStyleXfs>
  <cellXfs count="37">
    <xf numFmtId="0" fontId="0" fillId="0" borderId="0" pivotButton="0" quotePrefix="0" xfId="0"/>
    <xf numFmtId="0" fontId="4" fillId="2" borderId="0" applyAlignment="1" pivotButton="0" quotePrefix="0" xfId="1">
      <alignment horizontal="center" vertical="center" wrapText="1"/>
    </xf>
    <xf numFmtId="0" fontId="2" fillId="0" borderId="1" applyAlignment="1" pivotButton="0" quotePrefix="0" xfId="1">
      <alignment vertical="center"/>
    </xf>
    <xf numFmtId="0" fontId="2" fillId="0" borderId="2" applyAlignment="1" pivotButton="0" quotePrefix="0" xfId="1">
      <alignment vertical="center"/>
    </xf>
    <xf numFmtId="0" fontId="2" fillId="5" borderId="1" applyAlignment="1" pivotButton="0" quotePrefix="0" xfId="1">
      <alignment vertical="center"/>
    </xf>
    <xf numFmtId="0" fontId="2" fillId="5" borderId="2" applyAlignment="1" pivotButton="0" quotePrefix="0" xfId="1">
      <alignment vertical="center"/>
    </xf>
    <xf numFmtId="2" fontId="2" fillId="5" borderId="1" applyAlignment="1" pivotButton="0" quotePrefix="0" xfId="1">
      <alignment vertical="center"/>
    </xf>
    <xf numFmtId="2" fontId="2" fillId="5" borderId="2" applyAlignment="1" pivotButton="0" quotePrefix="0" xfId="1">
      <alignment vertical="center"/>
    </xf>
    <xf numFmtId="0" fontId="2" fillId="0" borderId="3" applyAlignment="1" pivotButton="0" quotePrefix="0" xfId="1">
      <alignment vertical="center"/>
    </xf>
    <xf numFmtId="0" fontId="2" fillId="5" borderId="3" applyAlignment="1" pivotButton="0" quotePrefix="0" xfId="1">
      <alignment vertical="center"/>
    </xf>
    <xf numFmtId="0" fontId="2" fillId="6" borderId="1" applyAlignment="1" pivotButton="0" quotePrefix="0" xfId="1">
      <alignment vertical="center"/>
    </xf>
    <xf numFmtId="0" fontId="2" fillId="6" borderId="3" applyAlignment="1" pivotButton="0" quotePrefix="0" xfId="1">
      <alignment vertical="center"/>
    </xf>
    <xf numFmtId="0" fontId="2" fillId="6" borderId="2" applyAlignment="1" pivotButton="0" quotePrefix="0" xfId="1">
      <alignment vertical="center"/>
    </xf>
    <xf numFmtId="0" fontId="2" fillId="5" borderId="1" applyAlignment="1" pivotButton="0" quotePrefix="0" xfId="1">
      <alignment vertical="center" wrapText="1"/>
    </xf>
    <xf numFmtId="0" fontId="2" fillId="6" borderId="1" applyAlignment="1" pivotButton="0" quotePrefix="0" xfId="1">
      <alignment vertical="center" wrapText="1"/>
    </xf>
    <xf numFmtId="0" fontId="2" fillId="5" borderId="3" applyAlignment="1" pivotButton="0" quotePrefix="0" xfId="1">
      <alignment vertical="center" wrapText="1"/>
    </xf>
    <xf numFmtId="0" fontId="2" fillId="6" borderId="3" applyAlignment="1" pivotButton="0" quotePrefix="0" xfId="1">
      <alignment vertical="center" wrapText="1"/>
    </xf>
    <xf numFmtId="0" fontId="2" fillId="5" borderId="2" applyAlignment="1" pivotButton="0" quotePrefix="0" xfId="1">
      <alignment vertical="center" wrapText="1"/>
    </xf>
    <xf numFmtId="0" fontId="2" fillId="6" borderId="2" applyAlignment="1" pivotButton="0" quotePrefix="0" xfId="1">
      <alignment vertical="center" wrapText="1"/>
    </xf>
    <xf numFmtId="0" fontId="2" fillId="7" borderId="1" applyAlignment="1" pivotButton="0" quotePrefix="0" xfId="1">
      <alignment vertical="center"/>
    </xf>
    <xf numFmtId="0" fontId="2" fillId="7" borderId="1" applyAlignment="1" pivotButton="0" quotePrefix="0" xfId="1">
      <alignment vertical="center"/>
    </xf>
    <xf numFmtId="0" fontId="2" fillId="7" borderId="3" applyAlignment="1" pivotButton="0" quotePrefix="0" xfId="1">
      <alignment vertical="center"/>
    </xf>
    <xf numFmtId="0" fontId="2" fillId="7" borderId="3" applyAlignment="1" pivotButton="0" quotePrefix="0" xfId="1">
      <alignment vertical="center"/>
    </xf>
    <xf numFmtId="0" fontId="2" fillId="7" borderId="2" applyAlignment="1" pivotButton="0" quotePrefix="0" xfId="1">
      <alignment vertical="center"/>
    </xf>
    <xf numFmtId="0" fontId="2" fillId="7" borderId="2" applyAlignment="1" pivotButton="0" quotePrefix="0" xfId="1">
      <alignment vertical="center"/>
    </xf>
    <xf numFmtId="0" fontId="2" fillId="7" borderId="1" applyAlignment="1" pivotButton="0" quotePrefix="0" xfId="1">
      <alignment vertical="center" wrapText="1"/>
    </xf>
    <xf numFmtId="0" fontId="2" fillId="7" borderId="3" applyAlignment="1" pivotButton="0" quotePrefix="0" xfId="1">
      <alignment vertical="center" wrapText="1"/>
    </xf>
    <xf numFmtId="0" fontId="2" fillId="7" borderId="2" applyAlignment="1" pivotButton="0" quotePrefix="0" xfId="1">
      <alignment vertical="center" wrapText="1"/>
    </xf>
    <xf numFmtId="2" fontId="2" fillId="6" borderId="3" applyAlignment="1" pivotButton="0" quotePrefix="0" xfId="1">
      <alignment vertical="center"/>
    </xf>
    <xf numFmtId="2" fontId="2" fillId="7" borderId="3" applyAlignment="1" pivotButton="0" quotePrefix="0" xfId="1">
      <alignment vertical="center"/>
    </xf>
    <xf numFmtId="2" fontId="2" fillId="7" borderId="2" applyAlignment="1" pivotButton="0" quotePrefix="0" xfId="1">
      <alignment vertical="center"/>
    </xf>
    <xf numFmtId="0" fontId="2" fillId="0" borderId="1" applyAlignment="1" pivotButton="0" quotePrefix="0" xfId="1">
      <alignment vertical="center" wrapText="1"/>
    </xf>
    <xf numFmtId="0" fontId="2" fillId="0" borderId="3" applyAlignment="1" pivotButton="0" quotePrefix="0" xfId="1">
      <alignment vertical="center" wrapText="1"/>
    </xf>
    <xf numFmtId="0" fontId="2" fillId="0" borderId="2" applyAlignment="1" pivotButton="0" quotePrefix="0" xfId="1">
      <alignment vertical="center" wrapText="1"/>
    </xf>
    <xf numFmtId="0" fontId="1" fillId="2" borderId="0" applyAlignment="1" pivotButton="0" quotePrefix="0" xfId="1">
      <alignment vertical="center"/>
    </xf>
    <xf numFmtId="0" fontId="2" fillId="3" borderId="0" applyAlignment="1" pivotButton="0" quotePrefix="0" xfId="1">
      <alignment vertical="center" wrapText="1"/>
    </xf>
    <xf numFmtId="0" fontId="3" fillId="4" borderId="0" applyAlignment="1" pivotButton="0" quotePrefix="0" xfId="1">
      <alignment vertical="center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pecialUpgradeTable" displayName="SpecialUpgradeTable" ref="A1:I9" headerRowCount="1" totalsRowShown="0">
  <tableColumns count="9">
    <tableColumn id="1" name="强化ID"/>
    <tableColumn id="2" name="显示名称"/>
    <tableColumn id="3" name="效果类型"/>
    <tableColumn id="4" name="目标ID"/>
    <tableColumn id="5" name="效果数值"/>
    <tableColumn id="6" name="可重复"/>
    <tableColumn id="7" name="启用"/>
    <tableColumn id="8" name="获得说明"/>
    <tableColumn id="9" name="升级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pecialGlobalRulesTable" displayName="SpecialGlobalRulesTable" ref="A1:D5" headerRowCount="1" totalsRowShown="0">
  <tableColumns count="4">
    <tableColumn id="1" name="参数ID"/>
    <tableColumn id="2" name="数值"/>
    <tableColumn id="3" name="说明"/>
    <tableColumn id="4" name="修改影响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pecialUpgradeNotesTable" displayName="SpecialUpgradeNotesTable" ref="A1:B6" headerRowCount="1" totalsRowShown="0"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topLeftCell="A10" workbookViewId="0">
      <selection activeCell="A1" sqref="A1:J1"/>
    </sheetView>
  </sheetViews>
  <sheetFormatPr baseColWidth="8" defaultRowHeight="13.8"/>
  <cols>
    <col width="22" customWidth="1" min="1" max="1"/>
    <col width="18" customWidth="1" min="2" max="3"/>
    <col width="16" customWidth="1" min="4" max="4"/>
    <col width="14" customWidth="1" min="5" max="5"/>
    <col width="12" customWidth="1" min="6" max="6"/>
    <col width="10" customWidth="1" min="7" max="7"/>
    <col width="48" customWidth="1" min="8" max="8"/>
    <col width="28" customWidth="1" min="9" max="9"/>
    <col width="42" customWidth="1" min="10" max="10"/>
  </cols>
  <sheetData>
    <row r="1" ht="37.95" customHeight="1">
      <c r="A1" s="34" t="inlineStr">
        <is>
          <t>小厨西 · 特殊强化预览</t>
        </is>
      </c>
    </row>
    <row r="2">
      <c r="A2" s="35" t="inlineStr">
        <is>
          <t>本页展示当前有效候选池及前置关系。候选仍由运行时从“当前有效项”完全随机抽取三个不同选项；Excel 只允许项目已经支持的固定效果类型。</t>
        </is>
      </c>
    </row>
    <row r="3"/>
    <row r="5" ht="28.05" customHeight="1">
      <c r="A5" s="36" t="inlineStr">
        <is>
          <t>全局等级规则</t>
        </is>
      </c>
    </row>
    <row r="6" ht="30" customHeight="1">
      <c r="A6" s="1" t="inlineStr">
        <is>
          <t>参数</t>
        </is>
      </c>
      <c r="B6" s="1" t="inlineStr">
        <is>
          <t>当前值</t>
        </is>
      </c>
    </row>
    <row r="7" ht="15" customHeight="1">
      <c r="A7" s="2" t="inlineStr">
        <is>
          <t>食材最高等级</t>
        </is>
      </c>
      <c r="B7" s="6">
        <f>全局规则!B4</f>
        <v/>
      </c>
    </row>
    <row r="8" ht="15" customHeight="1">
      <c r="A8" s="3" t="inlineStr">
        <is>
          <t>每级自身满足倍率</t>
        </is>
      </c>
      <c r="B8" s="7">
        <f>全局规则!B5</f>
        <v/>
      </c>
    </row>
    <row r="10" ht="28.05" customHeight="1">
      <c r="A10" s="36" t="inlineStr">
        <is>
          <t>当前特殊候选池</t>
        </is>
      </c>
    </row>
    <row r="11" ht="30" customHeight="1">
      <c r="A11" s="1" t="inlineStr">
        <is>
          <t>强化ID</t>
        </is>
      </c>
      <c r="B11" s="1" t="inlineStr">
        <is>
          <t>显示名称</t>
        </is>
      </c>
      <c r="C11" s="1" t="inlineStr">
        <is>
          <t>效果类型</t>
        </is>
      </c>
      <c r="D11" s="1" t="inlineStr">
        <is>
          <t>目标ID</t>
        </is>
      </c>
      <c r="E11" s="1" t="inlineStr">
        <is>
          <t>效果数值</t>
        </is>
      </c>
      <c r="F11" s="1" t="inlineStr">
        <is>
          <t>可重复</t>
        </is>
      </c>
      <c r="G11" s="1" t="inlineStr">
        <is>
          <t>启用</t>
        </is>
      </c>
      <c r="H11" s="1" t="inlineStr">
        <is>
          <t>获得说明</t>
        </is>
      </c>
      <c r="I11" s="1" t="inlineStr">
        <is>
          <t>升级说明</t>
        </is>
      </c>
      <c r="J11" s="1" t="inlineStr">
        <is>
          <t>进入候选条件</t>
        </is>
      </c>
    </row>
    <row r="12" ht="37.95" customHeight="1">
      <c r="A12" s="4">
        <f>特殊强化!A2</f>
        <v/>
      </c>
      <c r="B12" s="4">
        <f>特殊强化!B2</f>
        <v/>
      </c>
      <c r="C12" s="4">
        <f>特殊强化!C2</f>
        <v/>
      </c>
      <c r="D12" s="4">
        <f>IF(特殊强化!D2="","",特殊强化!D2)</f>
        <v/>
      </c>
      <c r="E12" s="4">
        <f>特殊强化!E2</f>
        <v/>
      </c>
      <c r="F12" s="4">
        <f>特殊强化!F2</f>
        <v/>
      </c>
      <c r="G12" s="4">
        <f>特殊强化!G2</f>
        <v/>
      </c>
      <c r="H12" s="13">
        <f>特殊强化!H2</f>
        <v/>
      </c>
      <c r="I12" s="13">
        <f>IF(特殊强化!I2="","",特殊强化!I2)</f>
        <v/>
      </c>
      <c r="J12" s="14" t="inlineStr">
        <is>
          <t>未拥有或尚未达到最高等级</t>
        </is>
      </c>
    </row>
    <row r="13" ht="37.95" customHeight="1">
      <c r="A13" s="9">
        <f>特殊强化!A3</f>
        <v/>
      </c>
      <c r="B13" s="9">
        <f>特殊强化!B3</f>
        <v/>
      </c>
      <c r="C13" s="9">
        <f>特殊强化!C3</f>
        <v/>
      </c>
      <c r="D13" s="9">
        <f>IF(特殊强化!D3="","",特殊强化!D3)</f>
        <v/>
      </c>
      <c r="E13" s="9">
        <f>特殊强化!E3</f>
        <v/>
      </c>
      <c r="F13" s="9">
        <f>特殊强化!F3</f>
        <v/>
      </c>
      <c r="G13" s="9">
        <f>特殊强化!G3</f>
        <v/>
      </c>
      <c r="H13" s="15">
        <f>特殊强化!H3</f>
        <v/>
      </c>
      <c r="I13" s="15">
        <f>IF(特殊强化!I3="","",特殊强化!I3)</f>
        <v/>
      </c>
      <c r="J13" s="16" t="inlineStr">
        <is>
          <t>未拥有或尚未达到最高等级</t>
        </is>
      </c>
    </row>
    <row r="14" ht="37.95" customHeight="1">
      <c r="A14" s="9">
        <f>特殊强化!A4</f>
        <v/>
      </c>
      <c r="B14" s="9">
        <f>特殊强化!B4</f>
        <v/>
      </c>
      <c r="C14" s="9">
        <f>特殊强化!C4</f>
        <v/>
      </c>
      <c r="D14" s="9">
        <f>IF(特殊强化!D4="","",特殊强化!D4)</f>
        <v/>
      </c>
      <c r="E14" s="9">
        <f>特殊强化!E4</f>
        <v/>
      </c>
      <c r="F14" s="9">
        <f>特殊强化!F4</f>
        <v/>
      </c>
      <c r="G14" s="9">
        <f>特殊强化!G4</f>
        <v/>
      </c>
      <c r="H14" s="15">
        <f>特殊强化!H4</f>
        <v/>
      </c>
      <c r="I14" s="15">
        <f>IF(特殊强化!I4="","",特殊强化!I4)</f>
        <v/>
      </c>
      <c r="J14" s="16" t="inlineStr">
        <is>
          <t>未拥有或尚未达到最高等级</t>
        </is>
      </c>
    </row>
    <row r="15" ht="37.95" customHeight="1">
      <c r="A15" s="9">
        <f>特殊强化!A5</f>
        <v/>
      </c>
      <c r="B15" s="9">
        <f>特殊强化!B5</f>
        <v/>
      </c>
      <c r="C15" s="9">
        <f>特殊强化!C5</f>
        <v/>
      </c>
      <c r="D15" s="9">
        <f>IF(特殊强化!D5="","",特殊强化!D5)</f>
        <v/>
      </c>
      <c r="E15" s="9">
        <f>特殊强化!E5</f>
        <v/>
      </c>
      <c r="F15" s="9">
        <f>特殊强化!F5</f>
        <v/>
      </c>
      <c r="G15" s="9">
        <f>特殊强化!G5</f>
        <v/>
      </c>
      <c r="H15" s="15">
        <f>特殊强化!H5</f>
        <v/>
      </c>
      <c r="I15" s="15">
        <f>IF(特殊强化!I5="","",特殊强化!I5)</f>
        <v/>
      </c>
      <c r="J15" s="16" t="inlineStr">
        <is>
          <t>始终有效</t>
        </is>
      </c>
    </row>
    <row r="16" ht="37.95" customHeight="1">
      <c r="A16" s="9">
        <f>特殊强化!A6</f>
        <v/>
      </c>
      <c r="B16" s="9">
        <f>特殊强化!B6</f>
        <v/>
      </c>
      <c r="C16" s="9">
        <f>特殊强化!C6</f>
        <v/>
      </c>
      <c r="D16" s="9">
        <f>IF(特殊强化!D6="","",特殊强化!D6)</f>
        <v/>
      </c>
      <c r="E16" s="9">
        <f>特殊强化!E6</f>
        <v/>
      </c>
      <c r="F16" s="9">
        <f>特殊强化!F6</f>
        <v/>
      </c>
      <c r="G16" s="9">
        <f>特殊强化!G6</f>
        <v/>
      </c>
      <c r="H16" s="15">
        <f>特殊强化!H6</f>
        <v/>
      </c>
      <c r="I16" s="15">
        <f>IF(特殊强化!I6="","",特殊强化!I6)</f>
        <v/>
      </c>
      <c r="J16" s="16" t="inlineStr">
        <is>
          <t>已拥有目标食材且尚未取得该效果</t>
        </is>
      </c>
    </row>
    <row r="17" ht="37.95" customHeight="1">
      <c r="A17" s="9">
        <f>特殊强化!A7</f>
        <v/>
      </c>
      <c r="B17" s="9">
        <f>特殊强化!B7</f>
        <v/>
      </c>
      <c r="C17" s="9">
        <f>特殊强化!C7</f>
        <v/>
      </c>
      <c r="D17" s="9">
        <f>IF(特殊强化!D7="","",特殊强化!D7)</f>
        <v/>
      </c>
      <c r="E17" s="9">
        <f>特殊强化!E7</f>
        <v/>
      </c>
      <c r="F17" s="9">
        <f>特殊强化!F7</f>
        <v/>
      </c>
      <c r="G17" s="9">
        <f>特殊强化!G7</f>
        <v/>
      </c>
      <c r="H17" s="15">
        <f>特殊强化!H7</f>
        <v/>
      </c>
      <c r="I17" s="15">
        <f>IF(特殊强化!I7="","",特殊强化!I7)</f>
        <v/>
      </c>
      <c r="J17" s="16" t="inlineStr">
        <is>
          <t>已拥有目标食材且尚未取得该效果</t>
        </is>
      </c>
    </row>
    <row r="18" ht="37.95" customHeight="1">
      <c r="A18" s="9">
        <f>特殊强化!A8</f>
        <v/>
      </c>
      <c r="B18" s="9">
        <f>特殊强化!B8</f>
        <v/>
      </c>
      <c r="C18" s="9">
        <f>特殊强化!C8</f>
        <v/>
      </c>
      <c r="D18" s="9">
        <f>IF(特殊强化!D8="","",特殊强化!D8)</f>
        <v/>
      </c>
      <c r="E18" s="9">
        <f>特殊强化!E8</f>
        <v/>
      </c>
      <c r="F18" s="9">
        <f>特殊强化!F8</f>
        <v/>
      </c>
      <c r="G18" s="9">
        <f>特殊强化!G8</f>
        <v/>
      </c>
      <c r="H18" s="15">
        <f>特殊强化!H8</f>
        <v/>
      </c>
      <c r="I18" s="15">
        <f>IF(特殊强化!I8="","",特殊强化!I8)</f>
        <v/>
      </c>
      <c r="J18" s="16" t="inlineStr">
        <is>
          <t>已拥有目标食材且尚未取得该效果</t>
        </is>
      </c>
    </row>
    <row r="19" ht="37.95" customHeight="1">
      <c r="A19" s="5">
        <f>特殊强化!A9</f>
        <v/>
      </c>
      <c r="B19" s="5">
        <f>特殊强化!B9</f>
        <v/>
      </c>
      <c r="C19" s="5">
        <f>特殊强化!C9</f>
        <v/>
      </c>
      <c r="D19" s="5">
        <f>IF(特殊强化!D9="","",特殊强化!D9)</f>
        <v/>
      </c>
      <c r="E19" s="5">
        <f>特殊强化!E9</f>
        <v/>
      </c>
      <c r="F19" s="5">
        <f>特殊强化!F9</f>
        <v/>
      </c>
      <c r="G19" s="5">
        <f>特殊强化!G9</f>
        <v/>
      </c>
      <c r="H19" s="17">
        <f>特殊强化!H9</f>
        <v/>
      </c>
      <c r="I19" s="17">
        <f>IF(特殊强化!I9="","",特殊强化!I9)</f>
        <v/>
      </c>
      <c r="J19" s="18" t="inlineStr">
        <is>
          <t>始终有效</t>
        </is>
      </c>
    </row>
  </sheetData>
  <mergeCells count="4">
    <mergeCell ref="A5:D5"/>
    <mergeCell ref="A1:J1"/>
    <mergeCell ref="A2:J3"/>
    <mergeCell ref="A10:J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4" sqref="A14"/>
    </sheetView>
  </sheetViews>
  <sheetFormatPr baseColWidth="8" defaultRowHeight="13.8"/>
  <cols>
    <col width="22" customWidth="1" min="1" max="1"/>
    <col width="18" customWidth="1" min="2" max="3"/>
    <col width="16" customWidth="1" min="4" max="4"/>
    <col width="14" customWidth="1" min="5" max="5"/>
    <col width="12" customWidth="1" min="6" max="6"/>
    <col width="10" customWidth="1" min="7" max="7"/>
    <col width="52" customWidth="1" min="8" max="8"/>
    <col width="30" customWidth="1" min="9" max="9"/>
  </cols>
  <sheetData>
    <row r="1" ht="30" customHeight="1">
      <c r="A1" s="1" t="inlineStr">
        <is>
          <t>强化ID</t>
        </is>
      </c>
      <c r="B1" s="1" t="inlineStr">
        <is>
          <t>显示名称</t>
        </is>
      </c>
      <c r="C1" s="1" t="inlineStr">
        <is>
          <t>效果类型</t>
        </is>
      </c>
      <c r="D1" s="1" t="inlineStr">
        <is>
          <t>目标ID</t>
        </is>
      </c>
      <c r="E1" s="1" t="inlineStr">
        <is>
          <t>效果数值</t>
        </is>
      </c>
      <c r="F1" s="1" t="inlineStr">
        <is>
          <t>可重复</t>
        </is>
      </c>
      <c r="G1" s="1" t="inlineStr">
        <is>
          <t>启用</t>
        </is>
      </c>
      <c r="H1" s="1" t="inlineStr">
        <is>
          <t>获得说明</t>
        </is>
      </c>
      <c r="I1" s="1" t="inlineStr">
        <is>
          <t>升级说明</t>
        </is>
      </c>
    </row>
    <row r="2" ht="37.95" customHeight="1">
      <c r="A2" s="10" t="inlineStr">
        <is>
          <t>potato</t>
        </is>
      </c>
      <c r="B2" s="10" t="inlineStr">
        <is>
          <t>土豆</t>
        </is>
      </c>
      <c r="C2" s="10" t="inlineStr">
        <is>
          <t>food_card</t>
        </is>
      </c>
      <c r="D2" s="10" t="inlineStr">
        <is>
          <t>potato</t>
        </is>
      </c>
      <c r="E2" s="20" t="n">
        <v>1</v>
      </c>
      <c r="F2" s="20" t="b">
        <v>1</v>
      </c>
      <c r="G2" s="20" t="b">
        <v>1</v>
      </c>
      <c r="H2" s="25" t="inlineStr">
        <is>
          <t>获得新食材并加入自动投喂</t>
        </is>
      </c>
      <c r="I2" s="25" t="inlineStr">
        <is>
          <t>提高自身基础满足值</t>
        </is>
      </c>
    </row>
    <row r="3" ht="37.95" customHeight="1">
      <c r="A3" s="11" t="inlineStr">
        <is>
          <t>baguette</t>
        </is>
      </c>
      <c r="B3" s="11" t="inlineStr">
        <is>
          <t>法棍</t>
        </is>
      </c>
      <c r="C3" s="11" t="inlineStr">
        <is>
          <t>food_card</t>
        </is>
      </c>
      <c r="D3" s="11" t="inlineStr">
        <is>
          <t>baguette</t>
        </is>
      </c>
      <c r="E3" s="22" t="n">
        <v>1</v>
      </c>
      <c r="F3" s="22" t="b">
        <v>1</v>
      </c>
      <c r="G3" s="22" t="b">
        <v>1</v>
      </c>
      <c r="H3" s="26" t="inlineStr">
        <is>
          <t>获得新食材并加入自动投喂</t>
        </is>
      </c>
      <c r="I3" s="26" t="inlineStr">
        <is>
          <t>提高自身基础满足值</t>
        </is>
      </c>
    </row>
    <row r="4" ht="37.95" customHeight="1">
      <c r="A4" s="11" t="inlineStr">
        <is>
          <t>mushroom</t>
        </is>
      </c>
      <c r="B4" s="11" t="inlineStr">
        <is>
          <t>蘑菇</t>
        </is>
      </c>
      <c r="C4" s="11" t="inlineStr">
        <is>
          <t>food_card</t>
        </is>
      </c>
      <c r="D4" s="11" t="inlineStr">
        <is>
          <t>mushroom</t>
        </is>
      </c>
      <c r="E4" s="22" t="n">
        <v>1</v>
      </c>
      <c r="F4" s="22" t="b">
        <v>1</v>
      </c>
      <c r="G4" s="22" t="b">
        <v>1</v>
      </c>
      <c r="H4" s="26" t="inlineStr">
        <is>
          <t>获得新食材并加入自动投喂</t>
        </is>
      </c>
      <c r="I4" s="26" t="inlineStr">
        <is>
          <t>提高自身基础满足值</t>
        </is>
      </c>
    </row>
    <row r="5" ht="37.95" customHeight="1">
      <c r="A5" s="11" t="inlineStr">
        <is>
          <t>serving</t>
        </is>
      </c>
      <c r="B5" s="11" t="inlineStr">
        <is>
          <t>全局加量</t>
        </is>
      </c>
      <c r="C5" s="11" t="inlineStr">
        <is>
          <t>serving</t>
        </is>
      </c>
      <c r="D5" s="11" t="n"/>
      <c r="E5" s="22" t="n">
        <v>1</v>
      </c>
      <c r="F5" s="22" t="b">
        <v>1</v>
      </c>
      <c r="G5" s="22" t="b">
        <v>1</v>
      </c>
      <c r="H5" s="26" t="inlineStr">
        <is>
          <t>当前与未来食材增加攻击份数</t>
        </is>
      </c>
      <c r="I5" s="26" t="n"/>
    </row>
    <row r="6" ht="37.95" customHeight="1">
      <c r="A6" s="11" t="inlineStr">
        <is>
          <t>potato_aim</t>
        </is>
      </c>
      <c r="B6" s="11" t="inlineStr">
        <is>
          <t>瞄准投喂</t>
        </is>
      </c>
      <c r="C6" s="11" t="inlineStr">
        <is>
          <t>target_aim</t>
        </is>
      </c>
      <c r="D6" s="11" t="inlineStr">
        <is>
          <t>potato</t>
        </is>
      </c>
      <c r="E6" s="22" t="n">
        <v>1</v>
      </c>
      <c r="F6" s="22" t="b">
        <v>0</v>
      </c>
      <c r="G6" s="22" t="b">
        <v>1</v>
      </c>
      <c r="H6" s="26" t="inlineStr">
        <is>
          <t>土豆发射时朝向当前目标</t>
        </is>
      </c>
      <c r="I6" s="26" t="n"/>
    </row>
    <row r="7" ht="37.95" customHeight="1">
      <c r="A7" s="11" t="inlineStr">
        <is>
          <t>baguette_giant</t>
        </is>
      </c>
      <c r="B7" s="11" t="inlineStr">
        <is>
          <t>巨型法棍</t>
        </is>
      </c>
      <c r="C7" s="11" t="inlineStr">
        <is>
          <t>evolution</t>
        </is>
      </c>
      <c r="D7" s="11" t="inlineStr">
        <is>
          <t>baguette</t>
        </is>
      </c>
      <c r="E7" s="22" t="n">
        <v>1</v>
      </c>
      <c r="F7" s="22" t="b">
        <v>0</v>
      </c>
      <c r="G7" s="22" t="b">
        <v>1</v>
      </c>
      <c r="H7" s="26" t="inlineStr">
        <is>
          <t>以3秒基础间隔额外发射一根横跨四格、滚动直行的巨型法棍</t>
        </is>
      </c>
      <c r="I7" s="26" t="n"/>
    </row>
    <row r="8" ht="37.95" customHeight="1">
      <c r="A8" s="11" t="inlineStr">
        <is>
          <t>mushroom_breath</t>
        </is>
      </c>
      <c r="B8" s="11" t="inlineStr">
        <is>
          <t>呼吸菌圈</t>
        </is>
      </c>
      <c r="C8" s="11" t="inlineStr">
        <is>
          <t>evolution</t>
        </is>
      </c>
      <c r="D8" s="11" t="inlineStr">
        <is>
          <t>mushroom</t>
        </is>
      </c>
      <c r="E8" s="22" t="n">
        <v>1</v>
      </c>
      <c r="F8" s="22" t="b">
        <v>0</v>
      </c>
      <c r="G8" s="22" t="b">
        <v>1</v>
      </c>
      <c r="H8" s="26" t="inlineStr">
        <is>
          <t>蘑菇环绕半径按武器表周期与倍率呼吸</t>
        </is>
      </c>
      <c r="I8" s="26" t="n"/>
    </row>
    <row r="9" ht="37.95" customHeight="1">
      <c r="A9" s="12" t="inlineStr">
        <is>
          <t>soy_sauce</t>
        </is>
      </c>
      <c r="B9" s="12" t="inlineStr">
        <is>
          <t>酱油</t>
        </is>
      </c>
      <c r="C9" s="12" t="inlineStr">
        <is>
          <t>pierce</t>
        </is>
      </c>
      <c r="D9" s="12" t="n"/>
      <c r="E9" s="24" t="n">
        <v>1</v>
      </c>
      <c r="F9" s="24" t="b">
        <v>1</v>
      </c>
      <c r="G9" s="24" t="b">
        <v>1</v>
      </c>
      <c r="H9" s="27" t="inlineStr">
        <is>
          <t>提高全部食材可命中目标数</t>
        </is>
      </c>
      <c r="I9" s="27" t="n"/>
    </row>
  </sheetData>
  <dataValidations count="2">
    <dataValidation sqref="C2:C9" showDropDown="0" showInputMessage="0" showErrorMessage="0" allowBlank="0" type="list">
      <formula1>"food_card,serving,target_aim,evolution,pierce"</formula1>
    </dataValidation>
    <dataValidation sqref="F2:G9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tabSelected="1" workbookViewId="0">
      <selection activeCell="B6" sqref="B6"/>
    </sheetView>
  </sheetViews>
  <sheetFormatPr baseColWidth="8" defaultRowHeight="13.8"/>
  <cols>
    <col width="42" customWidth="1" min="1" max="1"/>
    <col width="28" customWidth="1" min="2" max="2"/>
    <col width="48" customWidth="1" min="3" max="4"/>
  </cols>
  <sheetData>
    <row r="1" ht="30" customHeight="1">
      <c r="A1" s="1" t="inlineStr">
        <is>
          <t>参数ID</t>
        </is>
      </c>
      <c r="B1" s="1" t="inlineStr">
        <is>
          <t>数值</t>
        </is>
      </c>
      <c r="C1" s="1" t="inlineStr">
        <is>
          <t>说明</t>
        </is>
      </c>
      <c r="D1" s="1" t="inlineStr">
        <is>
          <t>修改影响</t>
        </is>
      </c>
    </row>
    <row r="2" ht="15" customHeight="1">
      <c r="A2" s="2" t="inlineStr">
        <is>
          <t>schema_id</t>
        </is>
      </c>
      <c r="B2" s="10" t="inlineStr">
        <is>
          <t>xiaochuxi.special_upgrades</t>
        </is>
      </c>
      <c r="C2" s="2" t="inlineStr">
        <is>
          <t>表结构标识，请勿修改</t>
        </is>
      </c>
      <c r="D2" s="2" t="inlineStr">
        <is>
          <t>不参与玩法</t>
        </is>
      </c>
    </row>
    <row r="3" ht="15" customHeight="1">
      <c r="A3" s="8" t="inlineStr">
        <is>
          <t>schema_version</t>
        </is>
      </c>
      <c r="B3" s="28" t="n">
        <v>1</v>
      </c>
      <c r="C3" s="8" t="inlineStr">
        <is>
          <t>结构版本，请勿修改</t>
        </is>
      </c>
      <c r="D3" s="8" t="inlineStr">
        <is>
          <t>不参与玩法</t>
        </is>
      </c>
    </row>
    <row r="4" ht="15" customHeight="1">
      <c r="A4" s="8" t="inlineStr">
        <is>
          <t>food_max_level</t>
        </is>
      </c>
      <c r="B4" s="29" t="n">
        <v>3</v>
      </c>
      <c r="C4" s="8" t="inlineStr">
        <is>
          <t>食材卡可提升到的最高等级</t>
        </is>
      </c>
      <c r="D4" s="8" t="inlineStr">
        <is>
          <t>改变食材卡退出候选池的时机</t>
        </is>
      </c>
    </row>
    <row r="5" ht="15" customHeight="1">
      <c r="A5" s="3" t="inlineStr">
        <is>
          <t>food_level_satisfaction_multiplier</t>
        </is>
      </c>
      <c r="B5" s="30" t="n">
        <v>2.25</v>
      </c>
      <c r="C5" s="3" t="inlineStr">
        <is>
          <t>每升一级的自身基础满足倍率</t>
        </is>
      </c>
      <c r="D5" s="3" t="inlineStr">
        <is>
          <t>按倍率的等级次方计算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3.8"/>
  <cols>
    <col width="20" customWidth="1" min="1" max="1"/>
    <col width="94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 ht="42" customHeight="1">
      <c r="A2" s="10" t="inlineStr">
        <is>
          <t>生效方式</t>
        </is>
      </c>
      <c r="B2" s="31" t="inlineStr">
        <is>
          <t>保存并关闭后重新开始本局；新一局会重建候选池和等级规则，运行中的选择界面不热替换。</t>
        </is>
      </c>
    </row>
    <row r="3" ht="42" customHeight="1">
      <c r="A3" s="11" t="inlineStr">
        <is>
          <t>效果边界</t>
        </is>
      </c>
      <c r="B3" s="32" t="inlineStr">
        <is>
          <t>效果类型只能使用下拉列表中的固定值，Excel 不能指定脚本、方法或任意代码。</t>
        </is>
      </c>
    </row>
    <row r="4" ht="42" customHeight="1">
      <c r="A4" s="11" t="inlineStr">
        <is>
          <t>候选有效性</t>
        </is>
      </c>
      <c r="B4" s="32" t="inlineStr">
        <is>
          <t>食材卡受最高等级限制；瞄准和进化要求先持有目标食材；可重复全局牌可以反复出现。</t>
        </is>
      </c>
    </row>
    <row r="5" ht="42" customHeight="1">
      <c r="A5" s="11" t="inlineStr">
        <is>
          <t>武器联动</t>
        </is>
      </c>
      <c r="B5" s="32" t="inlineStr">
        <is>
          <t>呼吸菌圈与巨型法棍的攻击参数均来自武器.xlsx；本表只负责解锁对应进化。</t>
        </is>
      </c>
    </row>
    <row r="6" ht="42" customHeight="1">
      <c r="A6" s="12" t="inlineStr">
        <is>
          <t>失败回退</t>
        </is>
      </c>
      <c r="B6" s="33" t="inlineStr">
        <is>
          <t>文件缺失、候选少于三项或数据非法时，游戏使用 run_3d.gd 中当前八项实验池。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2026-07-28T16:13:38Z</dcterms:created>
  <dcterms:modified xmlns:dcterms="http://purl.org/dc/terms/" xmlns:xsi="http://www.w3.org/2001/XMLSchema-instance" xsi:type="dcterms:W3CDTF">2026-07-28T17:14:50Z</dcterms:modified>
  <cp:lastModifiedBy>塔</cp:lastModifiedBy>
</cp:coreProperties>
</file>