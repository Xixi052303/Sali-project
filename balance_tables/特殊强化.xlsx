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gameproduct\小厨西\balance_tables\"/>
    </mc:Choice>
  </mc:AlternateContent>
  <xr:revisionPtr revIDLastSave="0" documentId="13_ncr:1_{A8774DEB-60CB-47BD-8AC7-3D5934D2D501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特殊强化预览" sheetId="1" r:id="rId1"/>
    <sheet name="新增" sheetId="5" r:id="rId2"/>
    <sheet name="特殊强化" sheetId="2" r:id="rId3"/>
    <sheet name="全局规则" sheetId="3" r:id="rId4"/>
    <sheet name="说明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9" i="1" l="1"/>
  <c r="H19" i="1"/>
  <c r="G19" i="1"/>
  <c r="F19" i="1"/>
  <c r="E19" i="1"/>
  <c r="D19" i="1"/>
  <c r="C19" i="1"/>
  <c r="B19" i="1"/>
  <c r="A19" i="1"/>
  <c r="I18" i="1"/>
  <c r="H18" i="1"/>
  <c r="G18" i="1"/>
  <c r="F18" i="1"/>
  <c r="E18" i="1"/>
  <c r="D18" i="1"/>
  <c r="C18" i="1"/>
  <c r="B18" i="1"/>
  <c r="A18" i="1"/>
  <c r="I17" i="1"/>
  <c r="H17" i="1"/>
  <c r="G17" i="1"/>
  <c r="F17" i="1"/>
  <c r="E17" i="1"/>
  <c r="D17" i="1"/>
  <c r="C17" i="1"/>
  <c r="B17" i="1"/>
  <c r="A17" i="1"/>
  <c r="I16" i="1"/>
  <c r="H16" i="1"/>
  <c r="G16" i="1"/>
  <c r="F16" i="1"/>
  <c r="E16" i="1"/>
  <c r="D16" i="1"/>
  <c r="C16" i="1"/>
  <c r="B16" i="1"/>
  <c r="A16" i="1"/>
  <c r="I15" i="1"/>
  <c r="H15" i="1"/>
  <c r="G15" i="1"/>
  <c r="F15" i="1"/>
  <c r="E15" i="1"/>
  <c r="D15" i="1"/>
  <c r="C15" i="1"/>
  <c r="B15" i="1"/>
  <c r="A15" i="1"/>
  <c r="I14" i="1"/>
  <c r="H14" i="1"/>
  <c r="G14" i="1"/>
  <c r="F14" i="1"/>
  <c r="E14" i="1"/>
  <c r="D14" i="1"/>
  <c r="C14" i="1"/>
  <c r="B14" i="1"/>
  <c r="A14" i="1"/>
  <c r="I13" i="1"/>
  <c r="H13" i="1"/>
  <c r="G13" i="1"/>
  <c r="F13" i="1"/>
  <c r="E13" i="1"/>
  <c r="D13" i="1"/>
  <c r="C13" i="1"/>
  <c r="B13" i="1"/>
  <c r="A13" i="1"/>
  <c r="I12" i="1"/>
  <c r="H12" i="1"/>
  <c r="G12" i="1"/>
  <c r="F12" i="1"/>
  <c r="E12" i="1"/>
  <c r="D12" i="1"/>
  <c r="C12" i="1"/>
  <c r="B12" i="1"/>
  <c r="A12" i="1"/>
  <c r="B8" i="1"/>
  <c r="B7" i="1"/>
</calcChain>
</file>

<file path=xl/sharedStrings.xml><?xml version="1.0" encoding="utf-8"?>
<sst xmlns="http://schemas.openxmlformats.org/spreadsheetml/2006/main" count="134" uniqueCount="102">
  <si>
    <t>小厨西 · 特殊强化预览</t>
  </si>
  <si>
    <t>本页展示当前有效候选池及前置关系。候选仍由运行时从“当前有效项”完全随机抽取三个不同选项；Excel 只允许项目已经支持的固定效果类型。</t>
  </si>
  <si>
    <t>全局等级规则</t>
  </si>
  <si>
    <t>参数</t>
  </si>
  <si>
    <t>当前值</t>
  </si>
  <si>
    <t>食材最高等级</t>
  </si>
  <si>
    <t>每级自身满足倍率</t>
  </si>
  <si>
    <t>当前特殊候选池</t>
  </si>
  <si>
    <t>强化ID</t>
  </si>
  <si>
    <t>显示名称</t>
  </si>
  <si>
    <t>效果类型</t>
  </si>
  <si>
    <t>目标ID</t>
  </si>
  <si>
    <t>效果数值</t>
  </si>
  <si>
    <t>可重复</t>
  </si>
  <si>
    <t>启用</t>
  </si>
  <si>
    <t>获得说明</t>
  </si>
  <si>
    <t>升级说明</t>
  </si>
  <si>
    <t>进入候选条件</t>
  </si>
  <si>
    <t>未拥有或尚未达到最高等级</t>
  </si>
  <si>
    <t>始终有效</t>
  </si>
  <si>
    <t>已拥有目标食材且尚未取得该效果</t>
  </si>
  <si>
    <t>potato</t>
  </si>
  <si>
    <t>土豆</t>
  </si>
  <si>
    <t>food_card</t>
  </si>
  <si>
    <t>获得新食材并加入自动投喂</t>
  </si>
  <si>
    <t>提高自身基础满足值</t>
  </si>
  <si>
    <t>baguette</t>
  </si>
  <si>
    <t>法棍</t>
  </si>
  <si>
    <t>mushroom</t>
  </si>
  <si>
    <t>蘑菇</t>
  </si>
  <si>
    <t>serving</t>
  </si>
  <si>
    <t>全局加量</t>
  </si>
  <si>
    <t>当前与未来食材增加攻击份数</t>
  </si>
  <si>
    <t>potato_aim</t>
  </si>
  <si>
    <t>瞄准投喂</t>
  </si>
  <si>
    <t>target_aim</t>
  </si>
  <si>
    <t>土豆发射时朝向当前目标</t>
  </si>
  <si>
    <t>baguette_giant</t>
  </si>
  <si>
    <t>巨型法棍</t>
  </si>
  <si>
    <t>evolution</t>
  </si>
  <si>
    <t>以3秒基础间隔额外发射一根横跨四格、滚动直行的巨型法棍</t>
  </si>
  <si>
    <t>mushroom_breath</t>
  </si>
  <si>
    <t>呼吸菌圈</t>
  </si>
  <si>
    <t>蘑菇环绕半径按武器表周期与倍率呼吸</t>
  </si>
  <si>
    <t>soy_sauce</t>
  </si>
  <si>
    <t>酱油</t>
  </si>
  <si>
    <t>pierce</t>
  </si>
  <si>
    <t>提高全部食材可命中目标数</t>
  </si>
  <si>
    <t>参数ID</t>
  </si>
  <si>
    <t>数值</t>
  </si>
  <si>
    <t>说明</t>
  </si>
  <si>
    <t>修改影响</t>
  </si>
  <si>
    <t>schema_id</t>
  </si>
  <si>
    <t>xiaochuxi.special_upgrades</t>
  </si>
  <si>
    <t>表结构标识，请勿修改</t>
  </si>
  <si>
    <t>不参与玩法</t>
  </si>
  <si>
    <t>schema_version</t>
  </si>
  <si>
    <t>结构版本，请勿修改</t>
  </si>
  <si>
    <t>food_max_level</t>
  </si>
  <si>
    <t>食材卡可提升到的最高等级</t>
  </si>
  <si>
    <t>改变食材卡退出候选池的时机</t>
  </si>
  <si>
    <t>food_level_satisfaction_multiplier</t>
  </si>
  <si>
    <t>每升一级的自身基础满足倍率</t>
  </si>
  <si>
    <t>按倍率的等级次方计算</t>
  </si>
  <si>
    <t>项目</t>
  </si>
  <si>
    <t>生效方式</t>
  </si>
  <si>
    <t>保存并关闭后重新开始本局；新一局会重建候选池和等级规则，运行中的选择界面不热替换。</t>
  </si>
  <si>
    <t>效果边界</t>
  </si>
  <si>
    <t>效果类型只能使用下拉列表中的固定值，Excel 不能指定脚本、方法或任意代码。</t>
  </si>
  <si>
    <t>候选有效性</t>
  </si>
  <si>
    <t>食材卡受最高等级限制；瞄准和进化要求先持有目标食材；可重复全局牌可以反复出现。</t>
  </si>
  <si>
    <t>武器联动</t>
  </si>
  <si>
    <t>呼吸菌圈与巨型法棍的攻击参数均来自武器.xlsx；本表只负责解锁对应进化。</t>
  </si>
  <si>
    <t>失败回退</t>
  </si>
  <si>
    <t>文件缺失、候选少于三项或数据非法时，游戏使用 run_3d.gd 中当前八项实验池。</t>
  </si>
  <si>
    <t>受虐狂</t>
    <phoneticPr fontId="6" type="noConversion"/>
  </si>
  <si>
    <t>每次受伤后永久增加1%最大生命值</t>
    <phoneticPr fontId="6" type="noConversion"/>
  </si>
  <si>
    <t>炸薯条</t>
    <phoneticPr fontId="6" type="noConversion"/>
  </si>
  <si>
    <r>
      <rPr>
        <sz val="11"/>
        <rFont val="微软雅黑"/>
        <family val="2"/>
        <charset val="134"/>
      </rPr>
      <t>土豆发射命中敌人后会爆炸，对范围内敌人再造成</t>
    </r>
    <r>
      <rPr>
        <sz val="11"/>
        <rFont val="Arial"/>
        <family val="2"/>
      </rPr>
      <t>50%</t>
    </r>
    <r>
      <rPr>
        <sz val="11"/>
        <rFont val="微软雅黑"/>
        <family val="2"/>
        <charset val="134"/>
      </rPr>
      <t>伤害</t>
    </r>
    <r>
      <rPr>
        <sz val="11"/>
        <rFont val="Carlito"/>
        <family val="2"/>
        <charset val="134"/>
      </rPr>
      <t>，cd1s</t>
    </r>
    <phoneticPr fontId="6" type="noConversion"/>
  </si>
  <si>
    <t>究极法棍</t>
    <phoneticPr fontId="6" type="noConversion"/>
  </si>
  <si>
    <t>现在发射巨型法棍时，额外再发射两根</t>
    <phoneticPr fontId="6" type="noConversion"/>
  </si>
  <si>
    <t>需要巨型法棍</t>
    <phoneticPr fontId="6" type="noConversion"/>
  </si>
  <si>
    <t>需要有土豆</t>
    <phoneticPr fontId="6" type="noConversion"/>
  </si>
  <si>
    <r>
      <rPr>
        <sz val="11"/>
        <rFont val="微软雅黑"/>
        <family val="2"/>
        <charset val="134"/>
      </rPr>
      <t>每次受伤后永久增加</t>
    </r>
    <r>
      <rPr>
        <sz val="11"/>
        <rFont val="Arial"/>
        <family val="2"/>
      </rPr>
      <t>1%</t>
    </r>
    <r>
      <rPr>
        <sz val="11"/>
        <rFont val="微软雅黑"/>
        <family val="2"/>
        <charset val="134"/>
      </rPr>
      <t>最大耐久</t>
    </r>
    <r>
      <rPr>
        <sz val="11"/>
        <rFont val="Carlito"/>
        <family val="2"/>
        <charset val="134"/>
      </rPr>
      <t>并额外回复等量生命（即实际恢复了2%）</t>
    </r>
    <phoneticPr fontId="6" type="noConversion"/>
  </si>
  <si>
    <t>需要蘑菇</t>
    <phoneticPr fontId="6" type="noConversion"/>
  </si>
  <si>
    <t>孢子</t>
    <phoneticPr fontId="6" type="noConversion"/>
  </si>
  <si>
    <t>护盾</t>
    <phoneticPr fontId="6" type="noConversion"/>
  </si>
  <si>
    <t>自动发射</t>
    <phoneticPr fontId="6" type="noConversion"/>
  </si>
  <si>
    <t>转速</t>
    <phoneticPr fontId="6" type="noConversion"/>
  </si>
  <si>
    <t>魅惑菇</t>
    <phoneticPr fontId="6" type="noConversion"/>
  </si>
  <si>
    <t>血量不满时会自动食用没人吃的蘑菇，恢复对应伤害5%的血量（需要更好的描述，这个可能有歧义）（数值相关的都需写入配置表可以调节，同时需要有中文名备注表示效果或者来源）</t>
    <phoneticPr fontId="6" type="noConversion"/>
  </si>
  <si>
    <t>需要魅惑菇</t>
    <phoneticPr fontId="6" type="noConversion"/>
  </si>
  <si>
    <t>毁灭菇</t>
    <phoneticPr fontId="6" type="noConversion"/>
  </si>
  <si>
    <t>炸土豆</t>
    <phoneticPr fontId="6" type="noConversion"/>
  </si>
  <si>
    <t>流连忘返</t>
    <phoneticPr fontId="6" type="noConversion"/>
  </si>
  <si>
    <t>命中普通食客会略微击退他</t>
    <phoneticPr fontId="6" type="noConversion"/>
  </si>
  <si>
    <t>留步</t>
    <phoneticPr fontId="6" type="noConversion"/>
  </si>
  <si>
    <r>
      <rPr>
        <sz val="11"/>
        <rFont val="微软雅黑"/>
        <family val="2"/>
        <charset val="134"/>
      </rPr>
      <t>命中普通食客会使其减速30%持续</t>
    </r>
    <r>
      <rPr>
        <sz val="11"/>
        <rFont val="Arial"/>
        <family val="2"/>
      </rPr>
      <t>3s</t>
    </r>
    <phoneticPr fontId="6" type="noConversion"/>
  </si>
  <si>
    <r>
      <rPr>
        <sz val="11"/>
        <rFont val="微软雅黑"/>
        <family val="2"/>
        <charset val="134"/>
      </rPr>
      <t>当生命值归零时，瞬间食用所有蘑菇，并在玩家自身位置引爆一枚毁灭菇，有巨大蘑菇云特效并对大范围敌人（约2屏幕）造成</t>
    </r>
    <r>
      <rPr>
        <sz val="11"/>
        <rFont val="Carlito"/>
      </rPr>
      <t>50</t>
    </r>
    <r>
      <rPr>
        <sz val="11"/>
        <rFont val="微软雅黑"/>
        <family val="2"/>
        <charset val="134"/>
      </rPr>
      <t>倍蘑菇伤害。</t>
    </r>
    <r>
      <rPr>
        <sz val="11"/>
        <rFont val="Carlito"/>
        <family val="2"/>
        <charset val="134"/>
      </rPr>
      <t>Cd120s</t>
    </r>
    <r>
      <rPr>
        <sz val="11"/>
        <rFont val="微软雅黑"/>
        <family val="2"/>
        <charset val="134"/>
      </rPr>
      <t>，每次回复血量时</t>
    </r>
    <r>
      <rPr>
        <sz val="11"/>
        <rFont val="Carlito"/>
        <family val="2"/>
        <charset val="134"/>
      </rPr>
      <t>cd-1s</t>
    </r>
    <r>
      <rPr>
        <sz val="11"/>
        <rFont val="微软雅黑"/>
        <family val="2"/>
        <charset val="134"/>
      </rPr>
      <t>。</t>
    </r>
    <phoneticPr fontId="6" type="noConversion"/>
  </si>
  <si>
    <r>
      <rPr>
        <sz val="11"/>
        <rFont val="微软雅黑"/>
        <family val="2"/>
        <charset val="134"/>
      </rPr>
      <t>所有食材获得30°跟踪，穿透</t>
    </r>
    <r>
      <rPr>
        <sz val="11"/>
        <rFont val="Carlito"/>
        <family val="2"/>
      </rPr>
      <t>+1.</t>
    </r>
    <phoneticPr fontId="6" type="noConversion"/>
  </si>
  <si>
    <t>胡萝卜</t>
    <phoneticPr fontId="6" type="noConversion"/>
  </si>
  <si>
    <t>鸡蛋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</si>
</sst>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name val="Carlito"/>
    </font>
    <font>
      <b/>
      <sz val="18"/>
      <color rgb="FFFFFFFF"/>
      <name val="Microsoft YaHei"/>
      <family val="2"/>
      <charset val="134"/>
    </font>
    <font>
      <sz val="10"/>
      <color rgb="FF243238"/>
      <name val="Microsoft YaHei"/>
      <family val="2"/>
      <charset val="134"/>
    </font>
    <font>
      <b/>
      <sz val="11"/>
      <color rgb="FFFFFFFF"/>
      <name val="Microsoft YaHei"/>
      <family val="2"/>
      <charset val="134"/>
    </font>
    <font>
      <b/>
      <sz val="10"/>
      <color rgb="FFFFFFFF"/>
      <name val="Microsoft YaHei"/>
      <family val="2"/>
      <charset val="134"/>
    </font>
    <font>
      <sz val="11"/>
      <name val="Carlito"/>
    </font>
    <font>
      <sz val="9"/>
      <name val="宋体"/>
      <family val="3"/>
      <charset val="134"/>
    </font>
    <font>
      <sz val="11"/>
      <name val="微软雅黑"/>
      <family val="2"/>
      <charset val="134"/>
    </font>
    <font>
      <sz val="11"/>
      <name val="Carlito"/>
      <family val="2"/>
      <charset val="134"/>
    </font>
    <font>
      <sz val="11"/>
      <name val="Arial"/>
      <family val="2"/>
    </font>
    <font>
      <sz val="11"/>
      <name val="Carlito"/>
      <family val="2"/>
    </font>
  </fonts>
  <fills count="8">
    <fill>
      <patternFill patternType="none"/>
    </fill>
    <fill>
      <patternFill patternType="gray125"/>
    </fill>
    <fill>
      <patternFill patternType="solid">
        <fgColor rgb="FF243238"/>
      </patternFill>
    </fill>
    <fill>
      <patternFill patternType="solid">
        <fgColor rgb="FFF5F7F6"/>
      </patternFill>
    </fill>
    <fill>
      <patternFill patternType="solid">
        <fgColor rgb="FF2D6F6A"/>
      </patternFill>
    </fill>
    <fill>
      <patternFill patternType="solid">
        <fgColor rgb="FFE7F0F8"/>
      </patternFill>
    </fill>
    <fill>
      <patternFill patternType="solid">
        <fgColor rgb="FFE8F3EC"/>
      </patternFill>
    </fill>
    <fill>
      <patternFill patternType="solid">
        <fgColor rgb="FFFFF3CD"/>
      </patternFill>
    </fill>
  </fills>
  <borders count="5">
    <border>
      <left/>
      <right/>
      <top/>
      <bottom/>
      <diagonal/>
    </border>
    <border>
      <left/>
      <right/>
      <top/>
      <bottom style="thin">
        <color rgb="FFD7DDD9"/>
      </bottom>
      <diagonal/>
    </border>
    <border>
      <left/>
      <right/>
      <top style="thin">
        <color rgb="FFD7DDD9"/>
      </top>
      <bottom/>
      <diagonal/>
    </border>
    <border>
      <left/>
      <right/>
      <top style="thin">
        <color rgb="FFD7DDD9"/>
      </top>
      <bottom style="thin">
        <color rgb="FFD7DDD9"/>
      </bottom>
      <diagonal/>
    </border>
    <border>
      <left/>
      <right/>
      <top style="thin">
        <color rgb="FFD7DDD9"/>
      </top>
      <bottom style="thin">
        <color theme="4" tint="0.39997558519241921"/>
      </bottom>
      <diagonal/>
    </border>
  </borders>
  <cellStyleXfs count="2">
    <xf numFmtId="0" fontId="0" fillId="0" borderId="0"/>
    <xf numFmtId="0" fontId="5" fillId="0" borderId="0"/>
  </cellStyleXfs>
  <cellXfs count="38">
    <xf numFmtId="0" fontId="0" fillId="0" borderId="0" xfId="0"/>
    <xf numFmtId="0" fontId="4" fillId="2" borderId="0" xfId="1" applyFont="1" applyFill="1" applyAlignment="1">
      <alignment horizontal="center" vertical="center" wrapText="1"/>
    </xf>
    <xf numFmtId="0" fontId="2" fillId="0" borderId="1" xfId="1" applyFont="1" applyBorder="1" applyAlignment="1">
      <alignment vertical="center"/>
    </xf>
    <xf numFmtId="0" fontId="2" fillId="0" borderId="2" xfId="1" applyFont="1" applyBorder="1" applyAlignment="1">
      <alignment vertical="center"/>
    </xf>
    <xf numFmtId="0" fontId="2" fillId="5" borderId="1" xfId="1" applyFont="1" applyFill="1" applyBorder="1" applyAlignment="1">
      <alignment vertical="center"/>
    </xf>
    <xf numFmtId="0" fontId="2" fillId="5" borderId="2" xfId="1" applyFont="1" applyFill="1" applyBorder="1" applyAlignment="1">
      <alignment vertical="center"/>
    </xf>
    <xf numFmtId="2" fontId="2" fillId="5" borderId="1" xfId="1" applyNumberFormat="1" applyFont="1" applyFill="1" applyBorder="1" applyAlignment="1">
      <alignment vertical="center"/>
    </xf>
    <xf numFmtId="2" fontId="2" fillId="5" borderId="2" xfId="1" applyNumberFormat="1" applyFont="1" applyFill="1" applyBorder="1" applyAlignment="1">
      <alignment vertical="center"/>
    </xf>
    <xf numFmtId="0" fontId="2" fillId="0" borderId="3" xfId="1" applyFont="1" applyBorder="1" applyAlignment="1">
      <alignment vertical="center"/>
    </xf>
    <xf numFmtId="0" fontId="2" fillId="5" borderId="3" xfId="1" applyFont="1" applyFill="1" applyBorder="1" applyAlignment="1">
      <alignment vertical="center"/>
    </xf>
    <xf numFmtId="0" fontId="2" fillId="6" borderId="1" xfId="1" applyFont="1" applyFill="1" applyBorder="1" applyAlignment="1">
      <alignment vertical="center"/>
    </xf>
    <xf numFmtId="0" fontId="2" fillId="6" borderId="3" xfId="1" applyFont="1" applyFill="1" applyBorder="1" applyAlignment="1">
      <alignment vertical="center"/>
    </xf>
    <xf numFmtId="0" fontId="2" fillId="6" borderId="2" xfId="1" applyFont="1" applyFill="1" applyBorder="1" applyAlignment="1">
      <alignment vertical="center"/>
    </xf>
    <xf numFmtId="0" fontId="2" fillId="5" borderId="1" xfId="1" applyFont="1" applyFill="1" applyBorder="1" applyAlignment="1">
      <alignment vertical="center" wrapText="1"/>
    </xf>
    <xf numFmtId="0" fontId="2" fillId="6" borderId="1" xfId="1" applyFont="1" applyFill="1" applyBorder="1" applyAlignment="1">
      <alignment vertical="center" wrapText="1"/>
    </xf>
    <xf numFmtId="0" fontId="2" fillId="5" borderId="3" xfId="1" applyFont="1" applyFill="1" applyBorder="1" applyAlignment="1">
      <alignment vertical="center" wrapText="1"/>
    </xf>
    <xf numFmtId="0" fontId="2" fillId="6" borderId="3" xfId="1" applyFont="1" applyFill="1" applyBorder="1" applyAlignment="1">
      <alignment vertical="center" wrapText="1"/>
    </xf>
    <xf numFmtId="0" fontId="2" fillId="5" borderId="2" xfId="1" applyFont="1" applyFill="1" applyBorder="1" applyAlignment="1">
      <alignment vertical="center" wrapText="1"/>
    </xf>
    <xf numFmtId="0" fontId="2" fillId="6" borderId="2" xfId="1" applyFont="1" applyFill="1" applyBorder="1" applyAlignment="1">
      <alignment vertical="center" wrapText="1"/>
    </xf>
    <xf numFmtId="0" fontId="2" fillId="7" borderId="1" xfId="1" applyFont="1" applyFill="1" applyBorder="1" applyAlignment="1">
      <alignment vertical="center"/>
    </xf>
    <xf numFmtId="0" fontId="2" fillId="7" borderId="3" xfId="1" applyFont="1" applyFill="1" applyBorder="1" applyAlignment="1">
      <alignment vertical="center"/>
    </xf>
    <xf numFmtId="0" fontId="2" fillId="7" borderId="2" xfId="1" applyFont="1" applyFill="1" applyBorder="1" applyAlignment="1">
      <alignment vertical="center"/>
    </xf>
    <xf numFmtId="0" fontId="2" fillId="7" borderId="1" xfId="1" applyFont="1" applyFill="1" applyBorder="1" applyAlignment="1">
      <alignment vertical="center" wrapText="1"/>
    </xf>
    <xf numFmtId="0" fontId="2" fillId="7" borderId="3" xfId="1" applyFont="1" applyFill="1" applyBorder="1" applyAlignment="1">
      <alignment vertical="center" wrapText="1"/>
    </xf>
    <xf numFmtId="0" fontId="2" fillId="7" borderId="2" xfId="1" applyFont="1" applyFill="1" applyBorder="1" applyAlignment="1">
      <alignment vertical="center" wrapText="1"/>
    </xf>
    <xf numFmtId="2" fontId="2" fillId="6" borderId="3" xfId="1" applyNumberFormat="1" applyFont="1" applyFill="1" applyBorder="1" applyAlignment="1">
      <alignment vertical="center"/>
    </xf>
    <xf numFmtId="2" fontId="2" fillId="7" borderId="3" xfId="1" applyNumberFormat="1" applyFont="1" applyFill="1" applyBorder="1" applyAlignment="1">
      <alignment vertical="center"/>
    </xf>
    <xf numFmtId="2" fontId="2" fillId="7" borderId="2" xfId="1" applyNumberFormat="1" applyFont="1" applyFill="1" applyBorder="1" applyAlignment="1">
      <alignment vertical="center"/>
    </xf>
    <xf numFmtId="0" fontId="2" fillId="0" borderId="1" xfId="1" applyFont="1" applyBorder="1" applyAlignment="1">
      <alignment vertical="center" wrapText="1"/>
    </xf>
    <xf numFmtId="0" fontId="2" fillId="0" borderId="3" xfId="1" applyFont="1" applyBorder="1" applyAlignment="1">
      <alignment vertical="center" wrapText="1"/>
    </xf>
    <xf numFmtId="0" fontId="2" fillId="0" borderId="2" xfId="1" applyFont="1" applyBorder="1" applyAlignment="1">
      <alignment vertical="center" wrapText="1"/>
    </xf>
    <xf numFmtId="0" fontId="3" fillId="4" borderId="0" xfId="1" applyFont="1" applyFill="1" applyAlignment="1">
      <alignment vertical="center"/>
    </xf>
    <xf numFmtId="0" fontId="0" fillId="0" borderId="0" xfId="0"/>
    <xf numFmtId="0" fontId="1" fillId="2" borderId="0" xfId="1" applyFont="1" applyFill="1" applyAlignment="1">
      <alignment vertical="center"/>
    </xf>
    <xf numFmtId="0" fontId="2" fillId="3" borderId="0" xfId="1" applyFont="1" applyFill="1" applyAlignment="1">
      <alignment vertical="center" wrapText="1"/>
    </xf>
    <xf numFmtId="0" fontId="8" fillId="0" borderId="0" xfId="0" applyFont="1"/>
    <xf numFmtId="0" fontId="7" fillId="0" borderId="0" xfId="0" applyFont="1"/>
    <xf numFmtId="0" fontId="2" fillId="6" borderId="4" xfId="1" applyNumberFormat="1" applyFont="1" applyFill="1" applyBorder="1" applyAlignment="1">
      <alignment vertical="center"/>
    </xf>
  </cellXfs>
  <cellStyles count="2">
    <cellStyle name="Normal" xfId="1" xr:uid="{00000000-0005-0000-0000-000001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pecialUpgradeTable" displayName="SpecialUpgradeTable" ref="A1:I9" totalsRowShown="0">
  <tableColumns count="9">
    <tableColumn id="1" xr3:uid="{00000000-0010-0000-0000-000001000000}" name="强化ID"/>
    <tableColumn id="2" xr3:uid="{00000000-0010-0000-0000-000002000000}" name="显示名称"/>
    <tableColumn id="3" xr3:uid="{00000000-0010-0000-0000-000003000000}" name="效果类型"/>
    <tableColumn id="4" xr3:uid="{00000000-0010-0000-0000-000004000000}" name="目标ID"/>
    <tableColumn id="5" xr3:uid="{00000000-0010-0000-0000-000005000000}" name="效果数值"/>
    <tableColumn id="6" xr3:uid="{00000000-0010-0000-0000-000006000000}" name="可重复"/>
    <tableColumn id="7" xr3:uid="{00000000-0010-0000-0000-000007000000}" name="启用"/>
    <tableColumn id="8" xr3:uid="{00000000-0010-0000-0000-000008000000}" name="获得说明"/>
    <tableColumn id="9" xr3:uid="{00000000-0010-0000-0000-000009000000}" name="升级说明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pecialGlobalRulesTable" displayName="SpecialGlobalRulesTable" ref="A1:D5" totalsRowShown="0">
  <tableColumns count="4">
    <tableColumn id="1" xr3:uid="{00000000-0010-0000-0100-000001000000}" name="参数ID"/>
    <tableColumn id="2" xr3:uid="{00000000-0010-0000-0100-000002000000}" name="数值"/>
    <tableColumn id="3" xr3:uid="{00000000-0010-0000-0100-000003000000}" name="说明"/>
    <tableColumn id="4" xr3:uid="{00000000-0010-0000-0100-000004000000}" name="修改影响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pecialUpgradeNotesTable" displayName="SpecialUpgradeNotesTable" ref="A1:B6" totalsRowShown="0">
  <tableColumns count="2">
    <tableColumn id="1" xr3:uid="{00000000-0010-0000-0200-000001000000}" name="项目"/>
    <tableColumn id="2" xr3:uid="{00000000-0010-0000-0200-000002000000}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7"/>
  <sheetViews>
    <sheetView showGridLines="0" topLeftCell="A16" workbookViewId="0">
      <selection activeCell="B27" sqref="B27:C27"/>
    </sheetView>
  </sheetViews>
  <sheetFormatPr defaultRowHeight="13.8"/>
  <cols>
    <col min="1" max="1" width="22" customWidth="1"/>
    <col min="2" max="3" width="18" customWidth="1"/>
    <col min="4" max="4" width="16" customWidth="1"/>
    <col min="5" max="5" width="14" customWidth="1"/>
    <col min="6" max="6" width="12" customWidth="1"/>
    <col min="7" max="7" width="10" customWidth="1"/>
    <col min="8" max="8" width="48" customWidth="1"/>
    <col min="9" max="9" width="28" customWidth="1"/>
    <col min="10" max="10" width="42" customWidth="1"/>
  </cols>
  <sheetData>
    <row r="1" spans="1:10" ht="37.950000000000003" customHeight="1">
      <c r="A1" s="33" t="s">
        <v>0</v>
      </c>
      <c r="B1" s="32"/>
      <c r="C1" s="32"/>
      <c r="D1" s="32"/>
      <c r="E1" s="32"/>
      <c r="F1" s="32"/>
      <c r="G1" s="32"/>
      <c r="H1" s="32"/>
      <c r="I1" s="32"/>
      <c r="J1" s="32"/>
    </row>
    <row r="2" spans="1:10">
      <c r="A2" s="34" t="s">
        <v>1</v>
      </c>
      <c r="B2" s="32"/>
      <c r="C2" s="32"/>
      <c r="D2" s="32"/>
      <c r="E2" s="32"/>
      <c r="F2" s="32"/>
      <c r="G2" s="32"/>
      <c r="H2" s="32"/>
      <c r="I2" s="32"/>
      <c r="J2" s="32"/>
    </row>
    <row r="3" spans="1:10">
      <c r="A3" s="32"/>
      <c r="B3" s="32"/>
      <c r="C3" s="32"/>
      <c r="D3" s="32"/>
      <c r="E3" s="32"/>
      <c r="F3" s="32"/>
      <c r="G3" s="32"/>
      <c r="H3" s="32"/>
      <c r="I3" s="32"/>
      <c r="J3" s="32"/>
    </row>
    <row r="5" spans="1:10" ht="28.05" customHeight="1">
      <c r="A5" s="31" t="s">
        <v>2</v>
      </c>
      <c r="B5" s="32"/>
      <c r="C5" s="32"/>
      <c r="D5" s="32"/>
    </row>
    <row r="6" spans="1:10" ht="30" customHeight="1">
      <c r="A6" s="1" t="s">
        <v>3</v>
      </c>
      <c r="B6" s="1" t="s">
        <v>4</v>
      </c>
    </row>
    <row r="7" spans="1:10" ht="15" customHeight="1">
      <c r="A7" s="2" t="s">
        <v>5</v>
      </c>
      <c r="B7" s="6">
        <f>全局规则!B4</f>
        <v>3</v>
      </c>
    </row>
    <row r="8" spans="1:10" ht="15" customHeight="1">
      <c r="A8" s="3" t="s">
        <v>6</v>
      </c>
      <c r="B8" s="7">
        <f>全局规则!B5</f>
        <v>2.25</v>
      </c>
    </row>
    <row r="10" spans="1:10" ht="28.05" customHeight="1">
      <c r="A10" s="31" t="s">
        <v>7</v>
      </c>
      <c r="B10" s="32"/>
      <c r="C10" s="32"/>
      <c r="D10" s="32"/>
      <c r="E10" s="32"/>
      <c r="F10" s="32"/>
      <c r="G10" s="32"/>
      <c r="H10" s="32"/>
      <c r="I10" s="32"/>
      <c r="J10" s="32"/>
    </row>
    <row r="11" spans="1:10" ht="30" customHeight="1">
      <c r="A11" s="1" t="s">
        <v>8</v>
      </c>
      <c r="B11" s="1" t="s">
        <v>9</v>
      </c>
      <c r="C11" s="1" t="s">
        <v>10</v>
      </c>
      <c r="D11" s="1" t="s">
        <v>11</v>
      </c>
      <c r="E11" s="1" t="s">
        <v>12</v>
      </c>
      <c r="F11" s="1" t="s">
        <v>13</v>
      </c>
      <c r="G11" s="1" t="s">
        <v>14</v>
      </c>
      <c r="H11" s="1" t="s">
        <v>15</v>
      </c>
      <c r="I11" s="1" t="s">
        <v>16</v>
      </c>
      <c r="J11" s="1" t="s">
        <v>17</v>
      </c>
    </row>
    <row r="12" spans="1:10" ht="37.950000000000003" customHeight="1">
      <c r="A12" s="4" t="str">
        <f>特殊强化!A2</f>
        <v>potato</v>
      </c>
      <c r="B12" s="4" t="str">
        <f>特殊强化!B2</f>
        <v>土豆</v>
      </c>
      <c r="C12" s="4" t="str">
        <f>特殊强化!C2</f>
        <v>food_card</v>
      </c>
      <c r="D12" s="4" t="str">
        <f>IF(特殊强化!D2="","",特殊强化!D2)</f>
        <v>potato</v>
      </c>
      <c r="E12" s="4">
        <f>特殊强化!E2</f>
        <v>1</v>
      </c>
      <c r="F12" s="4" t="b">
        <f>特殊强化!F2</f>
        <v>1</v>
      </c>
      <c r="G12" s="4" t="b">
        <f>特殊强化!G2</f>
        <v>1</v>
      </c>
      <c r="H12" s="13" t="str">
        <f>特殊强化!H2</f>
        <v>获得新食材并加入自动投喂</v>
      </c>
      <c r="I12" s="13" t="str">
        <f>IF(特殊强化!I2="","",特殊强化!I2)</f>
        <v>提高自身基础满足值</v>
      </c>
      <c r="J12" s="14" t="s">
        <v>18</v>
      </c>
    </row>
    <row r="13" spans="1:10" ht="37.950000000000003" customHeight="1">
      <c r="A13" s="9" t="str">
        <f>特殊强化!A3</f>
        <v>baguette</v>
      </c>
      <c r="B13" s="9" t="str">
        <f>特殊强化!B3</f>
        <v>法棍</v>
      </c>
      <c r="C13" s="9" t="str">
        <f>特殊强化!C3</f>
        <v>food_card</v>
      </c>
      <c r="D13" s="9" t="str">
        <f>IF(特殊强化!D3="","",特殊强化!D3)</f>
        <v>baguette</v>
      </c>
      <c r="E13" s="9">
        <f>特殊强化!E3</f>
        <v>1</v>
      </c>
      <c r="F13" s="9" t="b">
        <f>特殊强化!F3</f>
        <v>1</v>
      </c>
      <c r="G13" s="9" t="b">
        <f>特殊强化!G3</f>
        <v>1</v>
      </c>
      <c r="H13" s="15" t="str">
        <f>特殊强化!H3</f>
        <v>获得新食材并加入自动投喂</v>
      </c>
      <c r="I13" s="15" t="str">
        <f>IF(特殊强化!I3="","",特殊强化!I3)</f>
        <v>提高自身基础满足值</v>
      </c>
      <c r="J13" s="16" t="s">
        <v>18</v>
      </c>
    </row>
    <row r="14" spans="1:10" ht="37.950000000000003" customHeight="1">
      <c r="A14" s="9" t="str">
        <f>特殊强化!A4</f>
        <v>mushroom</v>
      </c>
      <c r="B14" s="9" t="str">
        <f>特殊强化!B4</f>
        <v>蘑菇</v>
      </c>
      <c r="C14" s="9" t="str">
        <f>特殊强化!C4</f>
        <v>food_card</v>
      </c>
      <c r="D14" s="9" t="str">
        <f>IF(特殊强化!D4="","",特殊强化!D4)</f>
        <v>mushroom</v>
      </c>
      <c r="E14" s="9">
        <f>特殊强化!E4</f>
        <v>1</v>
      </c>
      <c r="F14" s="9" t="b">
        <f>特殊强化!F4</f>
        <v>1</v>
      </c>
      <c r="G14" s="9" t="b">
        <f>特殊强化!G4</f>
        <v>1</v>
      </c>
      <c r="H14" s="15" t="str">
        <f>特殊强化!H4</f>
        <v>获得新食材并加入自动投喂</v>
      </c>
      <c r="I14" s="15" t="str">
        <f>IF(特殊强化!I4="","",特殊强化!I4)</f>
        <v>提高自身基础满足值</v>
      </c>
      <c r="J14" s="16" t="s">
        <v>18</v>
      </c>
    </row>
    <row r="15" spans="1:10" ht="37.950000000000003" customHeight="1">
      <c r="A15" s="9" t="str">
        <f>特殊强化!A5</f>
        <v>serving</v>
      </c>
      <c r="B15" s="9" t="str">
        <f>特殊强化!B5</f>
        <v>全局加量</v>
      </c>
      <c r="C15" s="9" t="str">
        <f>特殊强化!C5</f>
        <v>serving</v>
      </c>
      <c r="D15" s="9" t="str">
        <f>IF(特殊强化!D5="","",特殊强化!D5)</f>
        <v/>
      </c>
      <c r="E15" s="9">
        <f>特殊强化!E5</f>
        <v>1</v>
      </c>
      <c r="F15" s="9" t="b">
        <f>特殊强化!F5</f>
        <v>1</v>
      </c>
      <c r="G15" s="9" t="b">
        <f>特殊强化!G5</f>
        <v>1</v>
      </c>
      <c r="H15" s="15" t="str">
        <f>特殊强化!H5</f>
        <v>当前与未来食材增加攻击份数</v>
      </c>
      <c r="I15" s="15" t="str">
        <f>IF(特殊强化!I5="","",特殊强化!I5)</f>
        <v/>
      </c>
      <c r="J15" s="16" t="s">
        <v>19</v>
      </c>
    </row>
    <row r="16" spans="1:10" ht="37.950000000000003" customHeight="1">
      <c r="A16" s="9" t="str">
        <f>特殊强化!A6</f>
        <v>potato_aim</v>
      </c>
      <c r="B16" s="9" t="str">
        <f>特殊强化!B6</f>
        <v>瞄准投喂</v>
      </c>
      <c r="C16" s="9" t="str">
        <f>特殊强化!C6</f>
        <v>target_aim</v>
      </c>
      <c r="D16" s="9" t="str">
        <f>IF(特殊强化!D6="","",特殊强化!D6)</f>
        <v>potato</v>
      </c>
      <c r="E16" s="9">
        <f>特殊强化!E6</f>
        <v>1</v>
      </c>
      <c r="F16" s="9" t="b">
        <f>特殊强化!F6</f>
        <v>0</v>
      </c>
      <c r="G16" s="9" t="b">
        <f>特殊强化!G6</f>
        <v>1</v>
      </c>
      <c r="H16" s="15" t="str">
        <f>特殊强化!H6</f>
        <v>土豆发射时朝向当前目标</v>
      </c>
      <c r="I16" s="15" t="str">
        <f>IF(特殊强化!I6="","",特殊强化!I6)</f>
        <v/>
      </c>
      <c r="J16" s="16" t="s">
        <v>20</v>
      </c>
    </row>
    <row r="17" spans="1:10" ht="37.950000000000003" customHeight="1">
      <c r="A17" s="9" t="str">
        <f>特殊强化!A7</f>
        <v>baguette_giant</v>
      </c>
      <c r="B17" s="9" t="str">
        <f>特殊强化!B7</f>
        <v>巨型法棍</v>
      </c>
      <c r="C17" s="9" t="str">
        <f>特殊强化!C7</f>
        <v>evolution</v>
      </c>
      <c r="D17" s="9" t="str">
        <f>IF(特殊强化!D7="","",特殊强化!D7)</f>
        <v>baguette</v>
      </c>
      <c r="E17" s="9">
        <f>特殊强化!E7</f>
        <v>1</v>
      </c>
      <c r="F17" s="9" t="b">
        <f>特殊强化!F7</f>
        <v>0</v>
      </c>
      <c r="G17" s="9" t="b">
        <f>特殊强化!G7</f>
        <v>1</v>
      </c>
      <c r="H17" s="15" t="str">
        <f>特殊强化!H7</f>
        <v>以3秒基础间隔额外发射一根横跨四格、滚动直行的巨型法棍</v>
      </c>
      <c r="I17" s="15" t="str">
        <f>IF(特殊强化!I7="","",特殊强化!I7)</f>
        <v/>
      </c>
      <c r="J17" s="16" t="s">
        <v>20</v>
      </c>
    </row>
    <row r="18" spans="1:10" ht="37.950000000000003" customHeight="1">
      <c r="A18" s="9" t="str">
        <f>特殊强化!A8</f>
        <v>mushroom_breath</v>
      </c>
      <c r="B18" s="9" t="str">
        <f>特殊强化!B8</f>
        <v>呼吸菌圈</v>
      </c>
      <c r="C18" s="9" t="str">
        <f>特殊强化!C8</f>
        <v>evolution</v>
      </c>
      <c r="D18" s="9" t="str">
        <f>IF(特殊强化!D8="","",特殊强化!D8)</f>
        <v>mushroom</v>
      </c>
      <c r="E18" s="9">
        <f>特殊强化!E8</f>
        <v>1</v>
      </c>
      <c r="F18" s="9" t="b">
        <f>特殊强化!F8</f>
        <v>0</v>
      </c>
      <c r="G18" s="9" t="b">
        <f>特殊强化!G8</f>
        <v>1</v>
      </c>
      <c r="H18" s="15" t="str">
        <f>特殊强化!H8</f>
        <v>蘑菇环绕半径按武器表周期与倍率呼吸</v>
      </c>
      <c r="I18" s="15" t="str">
        <f>IF(特殊强化!I8="","",特殊强化!I8)</f>
        <v/>
      </c>
      <c r="J18" s="16" t="s">
        <v>20</v>
      </c>
    </row>
    <row r="19" spans="1:10" ht="37.950000000000003" customHeight="1">
      <c r="A19" s="5" t="str">
        <f>特殊强化!A9</f>
        <v>soy_sauce</v>
      </c>
      <c r="B19" s="5" t="str">
        <f>特殊强化!B9</f>
        <v>酱油</v>
      </c>
      <c r="C19" s="5" t="str">
        <f>特殊强化!C9</f>
        <v>pierce</v>
      </c>
      <c r="D19" s="5" t="str">
        <f>IF(特殊强化!D9="","",特殊强化!D9)</f>
        <v/>
      </c>
      <c r="E19" s="5">
        <f>特殊强化!E9</f>
        <v>1</v>
      </c>
      <c r="F19" s="5" t="b">
        <f>特殊强化!F9</f>
        <v>1</v>
      </c>
      <c r="G19" s="5" t="b">
        <f>特殊强化!G9</f>
        <v>1</v>
      </c>
      <c r="H19" s="17" t="str">
        <f>特殊强化!H9</f>
        <v>提高全部食材可命中目标数</v>
      </c>
      <c r="I19" s="17" t="str">
        <f>IF(特殊强化!I9="","",特殊强化!I9)</f>
        <v/>
      </c>
      <c r="J19" s="18" t="s">
        <v>19</v>
      </c>
    </row>
    <row r="27" spans="1:10">
      <c r="B27" t="s">
        <v>75</v>
      </c>
      <c r="C27" t="s">
        <v>76</v>
      </c>
    </row>
  </sheetData>
  <mergeCells count="4">
    <mergeCell ref="A5:D5"/>
    <mergeCell ref="A1:J1"/>
    <mergeCell ref="A2:J3"/>
    <mergeCell ref="A10:J10"/>
  </mergeCells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50678-CB42-433B-8CB5-B75928A8E95F}">
  <dimension ref="A1:I19"/>
  <sheetViews>
    <sheetView tabSelected="1" workbookViewId="0">
      <selection activeCell="A19" sqref="A19"/>
    </sheetView>
  </sheetViews>
  <sheetFormatPr defaultRowHeight="13.8"/>
  <sheetData>
    <row r="1" spans="1:9" ht="15.6">
      <c r="B1" t="s">
        <v>75</v>
      </c>
      <c r="C1" s="35" t="s">
        <v>83</v>
      </c>
    </row>
    <row r="2" spans="1:9">
      <c r="B2" t="s">
        <v>94</v>
      </c>
      <c r="C2" t="s">
        <v>95</v>
      </c>
    </row>
    <row r="3" spans="1:9" ht="15.6">
      <c r="B3" t="s">
        <v>96</v>
      </c>
      <c r="C3" s="35" t="s">
        <v>97</v>
      </c>
    </row>
    <row r="4" spans="1:9" ht="15.6">
      <c r="B4" s="37" t="s">
        <v>45</v>
      </c>
      <c r="C4" s="35" t="s">
        <v>99</v>
      </c>
    </row>
    <row r="6" spans="1:9" ht="15.6">
      <c r="A6" t="s">
        <v>82</v>
      </c>
      <c r="B6" t="s">
        <v>77</v>
      </c>
      <c r="C6" s="35" t="s">
        <v>78</v>
      </c>
    </row>
    <row r="7" spans="1:9">
      <c r="B7" t="s">
        <v>93</v>
      </c>
    </row>
    <row r="9" spans="1:9" ht="15.6">
      <c r="A9" s="36" t="s">
        <v>81</v>
      </c>
      <c r="B9" s="36" t="s">
        <v>79</v>
      </c>
      <c r="C9" s="36" t="s">
        <v>80</v>
      </c>
    </row>
    <row r="12" spans="1:9" ht="15.6">
      <c r="A12" t="s">
        <v>84</v>
      </c>
      <c r="B12" s="36" t="s">
        <v>89</v>
      </c>
      <c r="C12" s="36" t="s">
        <v>90</v>
      </c>
    </row>
    <row r="13" spans="1:9" ht="15.6">
      <c r="A13" t="s">
        <v>91</v>
      </c>
      <c r="B13" t="s">
        <v>92</v>
      </c>
      <c r="C13" s="35" t="s">
        <v>98</v>
      </c>
    </row>
    <row r="15" spans="1:9">
      <c r="I15" t="s">
        <v>85</v>
      </c>
    </row>
    <row r="16" spans="1:9">
      <c r="A16" t="s">
        <v>100</v>
      </c>
    </row>
    <row r="17" spans="1:9">
      <c r="I17" t="s">
        <v>86</v>
      </c>
    </row>
    <row r="18" spans="1:9">
      <c r="A18" t="s">
        <v>101</v>
      </c>
      <c r="I18" t="s">
        <v>87</v>
      </c>
    </row>
    <row r="19" spans="1:9">
      <c r="I19" t="s">
        <v>88</v>
      </c>
    </row>
  </sheetData>
  <phoneticPr fontId="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9"/>
  <sheetViews>
    <sheetView showGridLines="0" workbookViewId="0">
      <selection activeCell="B9" sqref="B9"/>
    </sheetView>
  </sheetViews>
  <sheetFormatPr defaultRowHeight="13.8"/>
  <cols>
    <col min="1" max="1" width="22" customWidth="1"/>
    <col min="2" max="3" width="18" customWidth="1"/>
    <col min="4" max="4" width="16" customWidth="1"/>
    <col min="5" max="5" width="14" customWidth="1"/>
    <col min="6" max="6" width="12" customWidth="1"/>
    <col min="7" max="7" width="10" customWidth="1"/>
    <col min="8" max="8" width="52" customWidth="1"/>
    <col min="9" max="9" width="30" customWidth="1"/>
  </cols>
  <sheetData>
    <row r="1" spans="1:9" ht="30" customHeight="1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 t="s">
        <v>16</v>
      </c>
    </row>
    <row r="2" spans="1:9" ht="37.950000000000003" customHeight="1">
      <c r="A2" s="10" t="s">
        <v>21</v>
      </c>
      <c r="B2" s="10" t="s">
        <v>22</v>
      </c>
      <c r="C2" s="10" t="s">
        <v>23</v>
      </c>
      <c r="D2" s="10" t="s">
        <v>21</v>
      </c>
      <c r="E2" s="19">
        <v>1</v>
      </c>
      <c r="F2" s="19" t="b">
        <v>1</v>
      </c>
      <c r="G2" s="19" t="b">
        <v>1</v>
      </c>
      <c r="H2" s="22" t="s">
        <v>24</v>
      </c>
      <c r="I2" s="22" t="s">
        <v>25</v>
      </c>
    </row>
    <row r="3" spans="1:9" ht="37.950000000000003" customHeight="1">
      <c r="A3" s="11" t="s">
        <v>26</v>
      </c>
      <c r="B3" s="11" t="s">
        <v>27</v>
      </c>
      <c r="C3" s="11" t="s">
        <v>23</v>
      </c>
      <c r="D3" s="11" t="s">
        <v>26</v>
      </c>
      <c r="E3" s="20">
        <v>1</v>
      </c>
      <c r="F3" s="20" t="b">
        <v>1</v>
      </c>
      <c r="G3" s="20" t="b">
        <v>1</v>
      </c>
      <c r="H3" s="23" t="s">
        <v>24</v>
      </c>
      <c r="I3" s="23" t="s">
        <v>25</v>
      </c>
    </row>
    <row r="4" spans="1:9" ht="37.950000000000003" customHeight="1">
      <c r="A4" s="11" t="s">
        <v>28</v>
      </c>
      <c r="B4" s="11" t="s">
        <v>29</v>
      </c>
      <c r="C4" s="11" t="s">
        <v>23</v>
      </c>
      <c r="D4" s="11" t="s">
        <v>28</v>
      </c>
      <c r="E4" s="20">
        <v>1</v>
      </c>
      <c r="F4" s="20" t="b">
        <v>1</v>
      </c>
      <c r="G4" s="20" t="b">
        <v>1</v>
      </c>
      <c r="H4" s="23" t="s">
        <v>24</v>
      </c>
      <c r="I4" s="23" t="s">
        <v>25</v>
      </c>
    </row>
    <row r="5" spans="1:9" ht="37.950000000000003" customHeight="1">
      <c r="A5" s="11" t="s">
        <v>30</v>
      </c>
      <c r="B5" s="11" t="s">
        <v>31</v>
      </c>
      <c r="C5" s="11" t="s">
        <v>30</v>
      </c>
      <c r="D5" s="11"/>
      <c r="E5" s="20">
        <v>1</v>
      </c>
      <c r="F5" s="20" t="b">
        <v>1</v>
      </c>
      <c r="G5" s="20" t="b">
        <v>1</v>
      </c>
      <c r="H5" s="23" t="s">
        <v>32</v>
      </c>
      <c r="I5" s="23"/>
    </row>
    <row r="6" spans="1:9" ht="37.950000000000003" customHeight="1">
      <c r="A6" s="11" t="s">
        <v>33</v>
      </c>
      <c r="B6" s="11" t="s">
        <v>34</v>
      </c>
      <c r="C6" s="11" t="s">
        <v>35</v>
      </c>
      <c r="D6" s="11" t="s">
        <v>21</v>
      </c>
      <c r="E6" s="20">
        <v>1</v>
      </c>
      <c r="F6" s="20" t="b">
        <v>0</v>
      </c>
      <c r="G6" s="20" t="b">
        <v>1</v>
      </c>
      <c r="H6" s="23" t="s">
        <v>36</v>
      </c>
      <c r="I6" s="23"/>
    </row>
    <row r="7" spans="1:9" ht="37.950000000000003" customHeight="1">
      <c r="A7" s="11" t="s">
        <v>37</v>
      </c>
      <c r="B7" s="11" t="s">
        <v>38</v>
      </c>
      <c r="C7" s="11" t="s">
        <v>39</v>
      </c>
      <c r="D7" s="11" t="s">
        <v>26</v>
      </c>
      <c r="E7" s="20">
        <v>1</v>
      </c>
      <c r="F7" s="20" t="b">
        <v>0</v>
      </c>
      <c r="G7" s="20" t="b">
        <v>1</v>
      </c>
      <c r="H7" s="23" t="s">
        <v>40</v>
      </c>
      <c r="I7" s="23"/>
    </row>
    <row r="8" spans="1:9" ht="37.950000000000003" customHeight="1">
      <c r="A8" s="11" t="s">
        <v>41</v>
      </c>
      <c r="B8" s="11" t="s">
        <v>42</v>
      </c>
      <c r="C8" s="11" t="s">
        <v>39</v>
      </c>
      <c r="D8" s="11" t="s">
        <v>28</v>
      </c>
      <c r="E8" s="20">
        <v>1</v>
      </c>
      <c r="F8" s="20" t="b">
        <v>0</v>
      </c>
      <c r="G8" s="20" t="b">
        <v>1</v>
      </c>
      <c r="H8" s="23" t="s">
        <v>43</v>
      </c>
      <c r="I8" s="23"/>
    </row>
    <row r="9" spans="1:9" ht="37.950000000000003" customHeight="1">
      <c r="A9" s="12" t="s">
        <v>44</v>
      </c>
      <c r="B9" s="12" t="s">
        <v>45</v>
      </c>
      <c r="C9" s="12" t="s">
        <v>46</v>
      </c>
      <c r="D9" s="12"/>
      <c r="E9" s="21">
        <v>1</v>
      </c>
      <c r="F9" s="21" t="b">
        <v>1</v>
      </c>
      <c r="G9" s="21" t="b">
        <v>1</v>
      </c>
      <c r="H9" s="24" t="s">
        <v>47</v>
      </c>
      <c r="I9" s="24"/>
    </row>
  </sheetData>
  <phoneticPr fontId="6" type="noConversion"/>
  <dataValidations count="2">
    <dataValidation type="list" sqref="C2:C9" xr:uid="{00000000-0002-0000-0100-000000000000}">
      <formula1>"food_card,serving,target_aim,evolution,pierce"</formula1>
    </dataValidation>
    <dataValidation type="list" sqref="F2:G9" xr:uid="{00000000-0002-0000-0100-000001000000}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5"/>
  <sheetViews>
    <sheetView showGridLines="0" workbookViewId="0">
      <selection activeCell="A13" sqref="A13"/>
    </sheetView>
  </sheetViews>
  <sheetFormatPr defaultRowHeight="13.8"/>
  <cols>
    <col min="1" max="1" width="42" customWidth="1"/>
    <col min="2" max="2" width="28" customWidth="1"/>
    <col min="3" max="4" width="48" customWidth="1"/>
  </cols>
  <sheetData>
    <row r="1" spans="1:4" ht="30" customHeight="1">
      <c r="A1" s="1" t="s">
        <v>48</v>
      </c>
      <c r="B1" s="1" t="s">
        <v>49</v>
      </c>
      <c r="C1" s="1" t="s">
        <v>50</v>
      </c>
      <c r="D1" s="1" t="s">
        <v>51</v>
      </c>
    </row>
    <row r="2" spans="1:4" ht="15" customHeight="1">
      <c r="A2" s="2" t="s">
        <v>52</v>
      </c>
      <c r="B2" s="10" t="s">
        <v>53</v>
      </c>
      <c r="C2" s="2" t="s">
        <v>54</v>
      </c>
      <c r="D2" s="2" t="s">
        <v>55</v>
      </c>
    </row>
    <row r="3" spans="1:4" ht="15" customHeight="1">
      <c r="A3" s="8" t="s">
        <v>56</v>
      </c>
      <c r="B3" s="25">
        <v>1</v>
      </c>
      <c r="C3" s="8" t="s">
        <v>57</v>
      </c>
      <c r="D3" s="8" t="s">
        <v>55</v>
      </c>
    </row>
    <row r="4" spans="1:4" ht="15" customHeight="1">
      <c r="A4" s="8" t="s">
        <v>58</v>
      </c>
      <c r="B4" s="26">
        <v>3</v>
      </c>
      <c r="C4" s="8" t="s">
        <v>59</v>
      </c>
      <c r="D4" s="8" t="s">
        <v>60</v>
      </c>
    </row>
    <row r="5" spans="1:4" ht="15" customHeight="1">
      <c r="A5" s="3" t="s">
        <v>61</v>
      </c>
      <c r="B5" s="27">
        <v>2.25</v>
      </c>
      <c r="C5" s="3" t="s">
        <v>62</v>
      </c>
      <c r="D5" s="3" t="s">
        <v>63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6"/>
  <sheetViews>
    <sheetView showGridLines="0" workbookViewId="0"/>
  </sheetViews>
  <sheetFormatPr defaultRowHeight="13.8"/>
  <cols>
    <col min="1" max="1" width="20" customWidth="1"/>
    <col min="2" max="2" width="94" customWidth="1"/>
  </cols>
  <sheetData>
    <row r="1" spans="1:2" ht="30" customHeight="1">
      <c r="A1" s="1" t="s">
        <v>64</v>
      </c>
      <c r="B1" s="1" t="s">
        <v>50</v>
      </c>
    </row>
    <row r="2" spans="1:2" ht="42" customHeight="1">
      <c r="A2" s="10" t="s">
        <v>65</v>
      </c>
      <c r="B2" s="28" t="s">
        <v>66</v>
      </c>
    </row>
    <row r="3" spans="1:2" ht="42" customHeight="1">
      <c r="A3" s="11" t="s">
        <v>67</v>
      </c>
      <c r="B3" s="29" t="s">
        <v>68</v>
      </c>
    </row>
    <row r="4" spans="1:2" ht="42" customHeight="1">
      <c r="A4" s="11" t="s">
        <v>69</v>
      </c>
      <c r="B4" s="29" t="s">
        <v>70</v>
      </c>
    </row>
    <row r="5" spans="1:2" ht="42" customHeight="1">
      <c r="A5" s="11" t="s">
        <v>71</v>
      </c>
      <c r="B5" s="29" t="s">
        <v>72</v>
      </c>
    </row>
    <row r="6" spans="1:2" ht="42" customHeight="1">
      <c r="A6" s="12" t="s">
        <v>73</v>
      </c>
      <c r="B6" s="30" t="s">
        <v>74</v>
      </c>
    </row>
  </sheetData>
  <phoneticPr fontId="6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特殊强化预览</vt:lpstr>
      <vt:lpstr>新增</vt:lpstr>
      <vt:lpstr>特殊强化</vt:lpstr>
      <vt:lpstr>全局规则</vt:lpstr>
      <vt:lpstr>说明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塔</cp:lastModifiedBy>
  <dcterms:created xsi:type="dcterms:W3CDTF">2026-07-28T16:13:38Z</dcterms:created>
  <dcterms:modified xsi:type="dcterms:W3CDTF">2026-07-29T19:59:17Z</dcterms:modified>
</cp:coreProperties>
</file>