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时间轴预览" sheetId="1" state="visible" r:id="rId1"/>
    <sheet xmlns:r="http://schemas.openxmlformats.org/officeDocument/2006/relationships" name="配置" sheetId="2" state="visible" r:id="rId2"/>
    <sheet xmlns:r="http://schemas.openxmlformats.org/officeDocument/2006/relationships" name="事件" sheetId="3" state="visible" r:id="rId3"/>
    <sheet xmlns:r="http://schemas.openxmlformats.org/officeDocument/2006/relationships" name="说明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rlito"/>
      <sz val="11"/>
    </font>
    <font>
      <name val="Microsoft YaHei"/>
      <b val="1"/>
      <color rgb="FFFFFFFF"/>
      <sz val="10"/>
    </font>
    <font>
      <name val="Microsoft YaHei"/>
      <color rgb="FF243238"/>
      <sz val="10"/>
    </font>
    <font>
      <name val="Microsoft YaHei"/>
      <b val="1"/>
      <color rgb="FFFFFFFF"/>
      <sz val="18"/>
    </font>
    <font>
      <name val="Microsoft YaHei"/>
      <b val="1"/>
      <color rgb="FFFFFFFF"/>
      <sz val="11"/>
    </font>
    <font>
      <name val="Microsoft YaHei"/>
      <b val="1"/>
      <color rgb="FF243238"/>
      <sz val="10"/>
    </font>
    <font>
      <name val="Carlito"/>
      <sz val="11"/>
    </font>
    <font>
      <name val="Carlito"/>
      <sz val="9"/>
    </font>
    <font>
      <name val="Carlito"/>
      <color rgb="FF1F2937"/>
      <sz val="10"/>
    </font>
  </fonts>
  <fills count="13">
    <fill>
      <patternFill/>
    </fill>
    <fill>
      <patternFill patternType="gray125"/>
    </fill>
    <fill>
      <patternFill patternType="solid">
        <fgColor rgb="FF243238"/>
      </patternFill>
    </fill>
    <fill>
      <patternFill patternType="solid">
        <fgColor rgb="FFE8F3EC"/>
      </patternFill>
    </fill>
    <fill>
      <patternFill patternType="solid">
        <fgColor rgb="FFFFF3CD"/>
      </patternFill>
    </fill>
    <fill>
      <patternFill patternType="solid">
        <fgColor rgb="FFE7F0F8"/>
      </patternFill>
    </fill>
    <fill>
      <patternFill patternType="solid">
        <fgColor rgb="FFF5F7F6"/>
      </patternFill>
    </fill>
    <fill>
      <patternFill patternType="solid">
        <fgColor rgb="FF2D6F6A"/>
      </patternFill>
    </fill>
    <fill>
      <patternFill patternType="solid">
        <fgColor rgb="FFD9A441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FF3CD"/>
      </patternFill>
    </fill>
  </fills>
  <borders count="7">
    <border/>
    <border>
      <bottom style="thin">
        <color rgb="FFD7DDD9"/>
      </bottom>
    </border>
    <border>
      <top style="thin">
        <color rgb="FFD7DDD9"/>
      </top>
      <bottom style="thin">
        <color rgb="FFD7DDD9"/>
      </bottom>
    </border>
    <border>
      <top style="thin">
        <color rgb="FFD7DDD9"/>
      </top>
    </border>
    <border>
      <left style="thin">
        <color rgb="FFD7E3EB"/>
      </left>
      <top style="thin">
        <color rgb="FFD7E3EB"/>
      </top>
      <bottom style="thin">
        <color rgb="FFD7E3EB"/>
      </bottom>
    </border>
    <border>
      <right style="thin">
        <color rgb="FFD7E3EB"/>
      </right>
      <top style="thin">
        <color rgb="FFD7E3EB"/>
      </top>
      <bottom style="thin">
        <color rgb="FFD7E3EB"/>
      </bottom>
    </border>
    <border>
      <top style="thin">
        <color rgb="FFD7E3EB"/>
      </top>
      <bottom style="thin">
        <color rgb="FFD7E3EB"/>
      </bottom>
    </border>
  </borders>
  <cellStyleXfs count="2">
    <xf numFmtId="0" fontId="6" fillId="0" borderId="0"/>
    <xf numFmtId="0" fontId="6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1">
      <alignment horizontal="center" vertical="center" wrapText="1"/>
    </xf>
    <xf numFmtId="0" fontId="2" fillId="3" borderId="1" applyAlignment="1" pivotButton="0" quotePrefix="0" xfId="1">
      <alignment vertical="center"/>
    </xf>
    <xf numFmtId="0" fontId="2" fillId="0" borderId="1" applyAlignment="1" pivotButton="0" quotePrefix="0" xfId="1">
      <alignment vertical="center" wrapText="1"/>
    </xf>
    <xf numFmtId="0" fontId="2" fillId="3" borderId="2" applyAlignment="1" pivotButton="0" quotePrefix="0" xfId="1">
      <alignment vertical="center"/>
    </xf>
    <xf numFmtId="0" fontId="2" fillId="0" borderId="2" applyAlignment="1" pivotButton="0" quotePrefix="0" xfId="1">
      <alignment vertical="center" wrapText="1"/>
    </xf>
    <xf numFmtId="0" fontId="2" fillId="3" borderId="3" applyAlignment="1" pivotButton="0" quotePrefix="0" xfId="1">
      <alignment vertical="center"/>
    </xf>
    <xf numFmtId="0" fontId="2" fillId="0" borderId="3" applyAlignment="1" pivotButton="0" quotePrefix="0" xfId="1">
      <alignment vertical="center" wrapText="1"/>
    </xf>
    <xf numFmtId="164" fontId="2" fillId="4" borderId="1" applyAlignment="1" pivotButton="0" quotePrefix="0" xfId="1">
      <alignment vertical="center"/>
    </xf>
    <xf numFmtId="0" fontId="2" fillId="4" borderId="1" applyAlignment="1" pivotButton="0" quotePrefix="0" xfId="1">
      <alignment vertical="center"/>
    </xf>
    <xf numFmtId="0" fontId="2" fillId="3" borderId="1" applyAlignment="1" pivotButton="0" quotePrefix="0" xfId="1">
      <alignment vertical="center" wrapText="1"/>
    </xf>
    <xf numFmtId="1" fontId="2" fillId="5" borderId="1" applyAlignment="1" pivotButton="0" quotePrefix="0" xfId="1">
      <alignment vertical="center"/>
    </xf>
    <xf numFmtId="164" fontId="2" fillId="4" borderId="2" applyAlignment="1" pivotButton="0" quotePrefix="0" xfId="1">
      <alignment vertical="center"/>
    </xf>
    <xf numFmtId="0" fontId="2" fillId="4" borderId="2" applyAlignment="1" pivotButton="0" quotePrefix="0" xfId="1">
      <alignment vertical="center"/>
    </xf>
    <xf numFmtId="0" fontId="2" fillId="3" borderId="2" applyAlignment="1" pivotButton="0" quotePrefix="0" xfId="1">
      <alignment vertical="center" wrapText="1"/>
    </xf>
    <xf numFmtId="1" fontId="2" fillId="5" borderId="2" applyAlignment="1" pivotButton="0" quotePrefix="0" xfId="1">
      <alignment vertical="center"/>
    </xf>
    <xf numFmtId="164" fontId="2" fillId="4" borderId="3" applyAlignment="1" pivotButton="0" quotePrefix="0" xfId="1">
      <alignment vertical="center"/>
    </xf>
    <xf numFmtId="0" fontId="2" fillId="4" borderId="3" applyAlignment="1" pivotButton="0" quotePrefix="0" xfId="1">
      <alignment vertical="center"/>
    </xf>
    <xf numFmtId="0" fontId="2" fillId="3" borderId="3" applyAlignment="1" pivotButton="0" quotePrefix="0" xfId="1">
      <alignment vertical="center" wrapText="1"/>
    </xf>
    <xf numFmtId="1" fontId="2" fillId="5" borderId="3" applyAlignment="1" pivotButton="0" quotePrefix="0" xfId="1">
      <alignment vertical="center"/>
    </xf>
    <xf numFmtId="0" fontId="2" fillId="0" borderId="1" applyAlignment="1" pivotButton="0" quotePrefix="0" xfId="1">
      <alignment vertical="center"/>
    </xf>
    <xf numFmtId="0" fontId="2" fillId="0" borderId="2" applyAlignment="1" pivotButton="0" quotePrefix="0" xfId="1">
      <alignment vertical="center"/>
    </xf>
    <xf numFmtId="2" fontId="2" fillId="4" borderId="2" applyAlignment="1" pivotButton="0" quotePrefix="0" xfId="1">
      <alignment vertical="center"/>
    </xf>
    <xf numFmtId="0" fontId="2" fillId="0" borderId="3" applyAlignment="1" pivotButton="0" quotePrefix="0" xfId="1">
      <alignment vertical="center"/>
    </xf>
    <xf numFmtId="2" fontId="2" fillId="4" borderId="3" applyAlignment="1" pivotButton="0" quotePrefix="0" xfId="1">
      <alignment vertical="center"/>
    </xf>
    <xf numFmtId="164" fontId="2" fillId="5" borderId="1" applyAlignment="1" pivotButton="0" quotePrefix="0" xfId="1">
      <alignment vertical="center"/>
    </xf>
    <xf numFmtId="2" fontId="2" fillId="5" borderId="1" applyAlignment="1" pivotButton="0" quotePrefix="0" xfId="1">
      <alignment vertical="center"/>
    </xf>
    <xf numFmtId="164" fontId="2" fillId="5" borderId="2" applyAlignment="1" pivotButton="0" quotePrefix="0" xfId="1">
      <alignment vertical="center"/>
    </xf>
    <xf numFmtId="2" fontId="2" fillId="5" borderId="2" applyAlignment="1" pivotButton="0" quotePrefix="0" xfId="1">
      <alignment vertical="center"/>
    </xf>
    <xf numFmtId="2" fontId="2" fillId="5" borderId="3" applyAlignment="1" pivotButton="0" quotePrefix="0" xfId="1">
      <alignment vertical="center"/>
    </xf>
    <xf numFmtId="164" fontId="2" fillId="5" borderId="3" applyAlignment="1" pivotButton="0" quotePrefix="0" xfId="1">
      <alignment vertical="center"/>
    </xf>
    <xf numFmtId="0" fontId="2" fillId="5" borderId="1" applyAlignment="1" pivotButton="0" quotePrefix="0" xfId="1">
      <alignment vertical="center"/>
    </xf>
    <xf numFmtId="0" fontId="5" fillId="3" borderId="0" applyAlignment="1" pivotButton="0" quotePrefix="0" xfId="1">
      <alignment vertical="center"/>
    </xf>
    <xf numFmtId="0" fontId="2" fillId="5" borderId="2" applyAlignment="1" pivotButton="0" quotePrefix="0" xfId="1">
      <alignment vertical="center"/>
    </xf>
    <xf numFmtId="0" fontId="2" fillId="5" borderId="3" applyAlignment="1" pivotButton="0" quotePrefix="0" xfId="1">
      <alignment vertical="center"/>
    </xf>
    <xf numFmtId="0" fontId="5" fillId="8" borderId="0" applyAlignment="1" pivotButton="0" quotePrefix="0" xfId="1">
      <alignment horizontal="center" vertical="center"/>
    </xf>
    <xf numFmtId="0" fontId="3" fillId="2" borderId="0" applyAlignment="1" pivotButton="0" quotePrefix="0" xfId="1">
      <alignment vertical="center"/>
    </xf>
    <xf numFmtId="0" fontId="4" fillId="7" borderId="0" applyAlignment="1" pivotButton="0" quotePrefix="0" xfId="1">
      <alignment vertical="center"/>
    </xf>
    <xf numFmtId="0" fontId="1" fillId="2" borderId="0" applyAlignment="1" pivotButton="0" quotePrefix="0" xfId="1">
      <alignment horizontal="center" vertical="center" wrapText="1"/>
    </xf>
    <xf numFmtId="0" fontId="2" fillId="6" borderId="0" applyAlignment="1" pivotButton="0" quotePrefix="0" xfId="1">
      <alignment vertical="center" wrapText="1"/>
    </xf>
    <xf numFmtId="164" fontId="2" fillId="5" borderId="1" applyAlignment="1" pivotButton="0" quotePrefix="0" xfId="1">
      <alignment vertical="center"/>
    </xf>
    <xf numFmtId="164" fontId="2" fillId="5" borderId="2" applyAlignment="1" pivotButton="0" quotePrefix="0" xfId="1">
      <alignment vertical="center"/>
    </xf>
    <xf numFmtId="164" fontId="2" fillId="5" borderId="3" applyAlignment="1" pivotButton="0" quotePrefix="0" xfId="1">
      <alignment vertical="center"/>
    </xf>
    <xf numFmtId="164" fontId="2" fillId="4" borderId="1" applyAlignment="1" pivotButton="0" quotePrefix="0" xfId="1">
      <alignment vertical="center"/>
    </xf>
    <xf numFmtId="164" fontId="2" fillId="4" borderId="2" applyAlignment="1" pivotButton="0" quotePrefix="0" xfId="1">
      <alignment vertical="center"/>
    </xf>
    <xf numFmtId="164" fontId="2" fillId="4" borderId="3" applyAlignment="1" pivotButton="0" quotePrefix="0" xfId="1">
      <alignment vertical="center"/>
    </xf>
    <xf numFmtId="0" fontId="0" fillId="9" borderId="0" pivotButton="0" quotePrefix="0" xfId="0"/>
    <xf numFmtId="0" fontId="8" fillId="9" borderId="0" pivotButton="0" quotePrefix="0" xfId="0"/>
    <xf numFmtId="0" fontId="8" fillId="9" borderId="4" pivotButton="0" quotePrefix="0" xfId="0"/>
    <xf numFmtId="0" fontId="8" fillId="9" borderId="5" pivotButton="0" quotePrefix="0" xfId="0"/>
    <xf numFmtId="0" fontId="8" fillId="9" borderId="4" applyAlignment="1" pivotButton="0" quotePrefix="0" xfId="0">
      <alignment vertical="center"/>
    </xf>
    <xf numFmtId="0" fontId="8" fillId="9" borderId="5" applyAlignment="1" pivotButton="0" quotePrefix="0" xfId="0">
      <alignment vertical="center"/>
    </xf>
    <xf numFmtId="0" fontId="0" fillId="10" borderId="0" pivotButton="0" quotePrefix="0" xfId="0"/>
    <xf numFmtId="0" fontId="8" fillId="10" borderId="0" pivotButton="0" quotePrefix="0" xfId="0"/>
    <xf numFmtId="0" fontId="8" fillId="10" borderId="4" pivotButton="0" quotePrefix="0" xfId="0"/>
    <xf numFmtId="0" fontId="8" fillId="10" borderId="5" pivotButton="0" quotePrefix="0" xfId="0"/>
    <xf numFmtId="0" fontId="8" fillId="10" borderId="4" applyAlignment="1" pivotButton="0" quotePrefix="0" xfId="0">
      <alignment vertical="center"/>
    </xf>
    <xf numFmtId="0" fontId="8" fillId="10" borderId="5" applyAlignment="1" pivotButton="0" quotePrefix="0" xfId="0">
      <alignment vertical="center"/>
    </xf>
    <xf numFmtId="0" fontId="0" fillId="11" borderId="0" pivotButton="0" quotePrefix="0" xfId="0"/>
    <xf numFmtId="0" fontId="8" fillId="11" borderId="0" pivotButton="0" quotePrefix="0" xfId="0"/>
    <xf numFmtId="0" fontId="8" fillId="11" borderId="4" pivotButton="0" quotePrefix="0" xfId="0"/>
    <xf numFmtId="0" fontId="8" fillId="11" borderId="6" pivotButton="0" quotePrefix="0" xfId="0"/>
    <xf numFmtId="0" fontId="8" fillId="11" borderId="5" pivotButton="0" quotePrefix="0" xfId="0"/>
    <xf numFmtId="0" fontId="8" fillId="11" borderId="4" applyAlignment="1" pivotButton="0" quotePrefix="0" xfId="0">
      <alignment vertical="center"/>
    </xf>
    <xf numFmtId="0" fontId="8" fillId="11" borderId="6" applyAlignment="1" pivotButton="0" quotePrefix="0" xfId="0">
      <alignment vertical="center"/>
    </xf>
    <xf numFmtId="0" fontId="8" fillId="11" borderId="5" applyAlignment="1" pivotButton="0" quotePrefix="0" xfId="0">
      <alignment vertical="center"/>
    </xf>
    <xf numFmtId="164" fontId="8" fillId="9" borderId="4" applyAlignment="1" pivotButton="0" quotePrefix="0" xfId="0">
      <alignment vertical="center"/>
    </xf>
    <xf numFmtId="0" fontId="0" fillId="12" borderId="0" pivotButton="0" quotePrefix="0" xfId="0"/>
    <xf numFmtId="2" fontId="0" fillId="12" borderId="0" pivotButton="0" quotePrefix="0" xfId="0"/>
    <xf numFmtId="2" fontId="0" fillId="12" borderId="0" pivotButton="0" quotePrefix="0" xfId="0"/>
  </cellXfs>
  <cellStyles count="2">
    <cellStyle name="常规" xfId="0"/>
    <cellStyle name="Normal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>
                <a:solidFill>
                  <a:schemeClr val="tx1"/>
                </a:solidFill>
                <a:latin typeface="+mn-lt"/>
                <a:ea typeface="+mn-lt"/>
                <a:cs typeface="+mn-lt"/>
              </a:rPr>
              <a:t>基准胃口随时间增长</a:t>
            </a:r>
          </a:p>
        </rich>
      </tx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>
              <a:solidFill>
                <a:schemeClr val="tx1"/>
              </a:solidFill>
              <a:latin typeface="+mn-lt"/>
              <a:ea typeface="+mn-lt"/>
              <a:cs typeface="+mn-lt"/>
            </a:defRPr>
          </a:pPr>
          <a:r>
            <a:t>None</a:t>
          </a:r>
        </a:p>
      </txPr>
    </title>
    <plotArea>
      <lineChart>
        <grouping val="standard"/>
        <varyColors val="1"/>
        <ser>
          <idx val="0"/>
          <order val="0"/>
          <tx>
            <v>基准胃口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0"/>
            <spPr>
              <a:ln xmlns:a="http://schemas.openxmlformats.org/drawingml/2006/main">
                <a:prstDash val="solid"/>
              </a:ln>
            </spPr>
          </dPt>
          <dPt>
            <idx val="1"/>
            <spPr>
              <a:ln xmlns:a="http://schemas.openxmlformats.org/drawingml/2006/main">
                <a:prstDash val="solid"/>
              </a:ln>
            </spPr>
          </dPt>
          <dPt>
            <idx val="2"/>
            <spPr>
              <a:ln xmlns:a="http://schemas.openxmlformats.org/drawingml/2006/main">
                <a:prstDash val="solid"/>
              </a:ln>
            </spPr>
          </dPt>
          <dPt>
            <idx val="3"/>
            <spPr>
              <a:ln xmlns:a="http://schemas.openxmlformats.org/drawingml/2006/main">
                <a:prstDash val="solid"/>
              </a:ln>
            </spPr>
          </dPt>
          <dPt>
            <idx val="4"/>
            <spPr>
              <a:ln xmlns:a="http://schemas.openxmlformats.org/drawingml/2006/main">
                <a:prstDash val="solid"/>
              </a:ln>
            </spPr>
          </dPt>
          <dPt>
            <idx val="5"/>
            <spPr>
              <a:ln xmlns:a="http://schemas.openxmlformats.org/drawingml/2006/main">
                <a:prstDash val="solid"/>
              </a:ln>
            </spPr>
          </dPt>
          <dPt>
            <idx val="6"/>
            <spPr>
              <a:ln xmlns:a="http://schemas.openxmlformats.org/drawingml/2006/main">
                <a:prstDash val="solid"/>
              </a:ln>
            </spPr>
          </dPt>
          <dPt>
            <idx val="7"/>
            <spPr>
              <a:ln xmlns:a="http://schemas.openxmlformats.org/drawingml/2006/main">
                <a:prstDash val="solid"/>
              </a:ln>
            </spPr>
          </dPt>
          <dPt>
            <idx val="8"/>
            <spPr>
              <a:ln xmlns:a="http://schemas.openxmlformats.org/drawingml/2006/main">
                <a:prstDash val="solid"/>
              </a:ln>
            </spPr>
          </dPt>
          <dPt>
            <idx val="9"/>
            <spPr>
              <a:ln xmlns:a="http://schemas.openxmlformats.org/drawingml/2006/main">
                <a:prstDash val="solid"/>
              </a:ln>
            </spPr>
          </dPt>
          <cat>
            <numRef>
              <f>时间轴预览!$H$6:$H$15</f>
              <numCache>
                <formatCode>0.0</formatCode>
                <ptCount val="10"/>
                <pt idx="0">
                  <v>0</v>
                </pt>
                <pt idx="1">
                  <v>15</v>
                </pt>
                <pt idx="2">
                  <v>30</v>
                </pt>
                <pt idx="3">
                  <v>45</v>
                </pt>
                <pt idx="4">
                  <v>60</v>
                </pt>
                <pt idx="5">
                  <v>75</v>
                </pt>
                <pt idx="6">
                  <v>90</v>
                </pt>
                <pt idx="7">
                  <v>105</v>
                </pt>
                <pt idx="8">
                  <v>120</v>
                </pt>
                <pt idx="9">
                  <v>135</v>
                </pt>
              </numCache>
            </numRef>
          </cat>
          <val>
            <numRef>
              <f>时间轴预览!$I$6:$I$15</f>
              <numCache>
                <formatCode>0</formatCode>
                <ptCount val="10"/>
                <pt idx="0">
                  <v>15</v>
                </pt>
                <pt idx="1">
                  <v>18</v>
                </pt>
                <pt idx="2">
                  <v>29</v>
                </pt>
                <pt idx="3">
                  <v>48</v>
                </pt>
                <pt idx="4">
                  <v>76</v>
                </pt>
                <pt idx="5">
                  <v>112</v>
                </pt>
                <pt idx="6">
                  <v>158</v>
                </pt>
                <pt idx="7">
                  <v>213</v>
                </pt>
                <pt idx="8">
                  <v>277</v>
                </pt>
                <pt idx="9">
                  <v>350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时间（秒）</a:t>
                </a:r>
              </a:p>
            </rich>
          </tx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  <a:r>
                <a:t>None</a:t>
              </a:r>
            </a:p>
          </txPr>
        </title>
        <numFmt formatCode="0.0" sourceLinked="1"/>
        <majorTickMark val="none"/>
        <minorTickMark val="none"/>
        <tickLblPos val="nextTo"/>
        <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  <a:r>
              <a:t>None</a:t>
            </a:r>
          </a:p>
        </txPr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基准胃口</a:t>
                </a:r>
              </a:p>
            </rich>
          </tx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  <a:r>
                <a:t>None</a:t>
              </a:r>
            </a:p>
          </txPr>
        </title>
        <numFmt formatCode="0" sourceLinked="1"/>
        <majorTickMark val="none"/>
        <minorTickMark val="none"/>
        <tickLblPos val="nextTo"/>
        <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  <a:r>
              <a:t>None</a:t>
            </a:r>
          </a:p>
        </txPr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10</col>
      <colOff>0</colOff>
      <row>4</row>
      <rowOff>0</rowOff>
    </from>
    <to>
      <col>17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imelineConfigTable" displayName="TimelineConfigTable" ref="A1:E17" headerRowCount="1" totalsRowCount="0" totalsRowShown="0">
  <tableColumns count="5">
    <tableColumn id="1" name="参数ID"/>
    <tableColumn id="2" name="数值"/>
    <tableColumn id="3" name="说明"/>
    <tableColumn id="4" name="对游戏的影响"/>
    <tableColumn id="5" name="修改建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imelineEventsTable" displayName="TimelineEventsTable" ref="A1:N16" headerRowCount="1" totalsRowShown="0">
  <tableColumns count="14">
    <tableColumn id="1" name="请求时间(s)"/>
    <tableColumn id="2" name="事件ID"/>
    <tableColumn id="3" name="类型"/>
    <tableColumn id="4" name="说明"/>
    <tableColumn id="5" name="基准胃口">
      <calculatedColumnFormula>ROUND(配置!$B$4+(配置!$B$5-配置!$B$4)*POWER(MIN(MAX(A2/配置!$B$6,0),1),配置!$B$7),0)</calculatedColumnFormula>
    </tableColumn>
    <tableColumn id="6" name="普通p0">
      <calculatedColumnFormula>ROUND(E2,0)</calculatedColumnFormula>
    </tableColumn>
    <tableColumn id="7" name="普通p1">
      <calculatedColumnFormula>ROUND(E2*2,0)</calculatedColumnFormula>
    </tableColumn>
    <tableColumn id="8" name="快速p0">
      <calculatedColumnFormula>ROUND(E2*0.75,0)</calculatedColumnFormula>
    </tableColumn>
    <tableColumn id="9" name="快速p1">
      <calculatedColumnFormula>ROUND(E2*1.5,0)</calculatedColumnFormula>
    </tableColumn>
    <tableColumn id="10" name="远程p0">
      <calculatedColumnFormula>ROUND(E2*1.5,0)</calculatedColumnFormula>
    </tableColumn>
    <tableColumn id="11" name="远程p1">
      <calculatedColumnFormula>ROUND(E2*3,0)</calculatedColumnFormula>
    </tableColumn>
    <tableColumn id="12" name="精英胃口">
      <calculatedColumnFormula>ROUND(E2*5.625,0)</calculatedColumnFormula>
    </tableColumn>
    <tableColumn id="13" name="门基础最低">
      <calculatedColumnFormula>ROUND(E2,0)</calculatedColumnFormula>
    </tableColumn>
    <tableColumn id="14" name="门基础最高">
      <calculatedColumnFormula>ROUND(E2*2,0)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imelineNotesTable" displayName="TimelineNotesTable" ref="A1:B10" headerRowCount="1" totalsRowShown="0">
  <tableColumns count="2">
    <tableColumn id="1" name="项目"/>
    <tableColumn id="2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showGridLines="0" workbookViewId="0">
      <selection activeCell="A1" sqref="A1"/>
    </sheetView>
  </sheetViews>
  <sheetFormatPr baseColWidth="8" defaultColWidth="9" defaultRowHeight="14.39999961853027"/>
  <cols>
    <col width="16" customWidth="1" min="1" max="1"/>
    <col width="23" customWidth="1" min="2" max="2"/>
    <col width="16" customWidth="1" min="3" max="3"/>
    <col width="15" customWidth="1" min="4" max="4"/>
    <col width="14" customWidth="1" min="5" max="8"/>
    <col width="17" customWidth="1" min="9" max="9"/>
    <col width="16" customWidth="1" min="10" max="10"/>
    <col width="13" customWidth="1" min="11" max="17"/>
  </cols>
  <sheetData>
    <row r="1" ht="37.95000076293945" customHeight="1">
      <c r="A1" s="36" t="inlineStr">
        <is>
          <t>小厨西 · 时间轴策划预览</t>
        </is>
      </c>
    </row>
    <row r="2" ht="24" customHeight="1">
      <c r="A2" s="39" t="inlineStr">
        <is>
          <t>黄色单元格在“配置 / 事件”页修改；本页全部自动联动。曲线使用0～135秒前段与135～270秒晚段，普通波次节奏也由配置页控制；事件时间仍是请求时刻，生成安全距离不足时可能顺延。</t>
        </is>
      </c>
    </row>
    <row r="3" ht="24" customHeight="1"/>
    <row r="5" ht="30" customHeight="1">
      <c r="A5" s="37" t="inlineStr">
        <is>
          <t>核心曲线参数</t>
        </is>
      </c>
      <c r="H5" s="38" t="inlineStr">
        <is>
          <t>时间(s)</t>
        </is>
      </c>
      <c r="I5" s="38" t="inlineStr">
        <is>
          <t>基准胃口</t>
        </is>
      </c>
    </row>
    <row r="6" ht="30" customHeight="1">
      <c r="A6" s="38" t="inlineStr">
        <is>
          <t>参数</t>
        </is>
      </c>
      <c r="B6" s="38" t="inlineStr">
        <is>
          <t>当前值</t>
        </is>
      </c>
      <c r="D6" s="38" t="inlineStr">
        <is>
          <t>事件概览</t>
        </is>
      </c>
      <c r="E6" s="38" t="inlineStr">
        <is>
          <t>当前值</t>
        </is>
      </c>
      <c r="H6" s="40">
        <f>'配置'!$B$9*0/9</f>
        <v/>
      </c>
      <c r="I6" s="11">
        <f>ROUND(IF(H6&lt;='配置'!$B$6,'配置'!$B$4+('配置'!$B$5-'配置'!$B$4)*POWER(MIN(MAX(H6/'配置'!$B$6,0),1),'配置'!$B$7),'配置'!$B$5+('配置'!$B$8-'配置'!$B$5)*POWER(MIN(MAX((H6-'配置'!$B$6)/('配置'!$B$9-'配置'!$B$6),0),1),'配置'!$B$10)),0)</f>
        <v/>
      </c>
    </row>
    <row r="7" ht="15" customHeight="1">
      <c r="A7" s="20" t="inlineStr">
        <is>
          <t>起始胃口</t>
        </is>
      </c>
      <c r="B7" s="26">
        <f>'配置'!B4</f>
        <v/>
      </c>
      <c r="D7" s="20" t="inlineStr">
        <is>
          <t>显式事件数</t>
        </is>
      </c>
      <c r="E7" s="40">
        <f>COUNTA(事件!B2:B100)</f>
        <v/>
      </c>
      <c r="H7" s="41">
        <f>'配置'!$B$9*1/9</f>
        <v/>
      </c>
      <c r="I7" s="15">
        <f>ROUND(IF(H7&lt;='配置'!$B$6,'配置'!$B$4+('配置'!$B$5-'配置'!$B$4)*POWER(MIN(MAX(H7/'配置'!$B$6,0),1),'配置'!$B$7),'配置'!$B$5+('配置'!$B$8-'配置'!$B$5)*POWER(MIN(MAX((H7-'配置'!$B$6)/('配置'!$B$9-'配置'!$B$6),0),1),'配置'!$B$10)),0)</f>
        <v/>
      </c>
    </row>
    <row r="8" ht="15" customHeight="1">
      <c r="A8" s="21" t="inlineStr">
        <is>
          <t>135秒胃口</t>
        </is>
      </c>
      <c r="B8" s="28">
        <f>'配置'!B5</f>
        <v/>
      </c>
      <c r="D8" s="21" t="inlineStr">
        <is>
          <t>普通强化门数</t>
        </is>
      </c>
      <c r="E8" s="41">
        <f>COUNTIF(事件!C2:C100,"普通强化门")</f>
        <v/>
      </c>
      <c r="H8" s="41">
        <f>'配置'!$B$9*2/9</f>
        <v/>
      </c>
      <c r="I8" s="15">
        <f>ROUND(IF(H8&lt;='配置'!$B$6,'配置'!$B$4+('配置'!$B$5-'配置'!$B$4)*POWER(MIN(MAX(H8/'配置'!$B$6,0),1),'配置'!$B$7),'配置'!$B$5+('配置'!$B$8-'配置'!$B$5)*POWER(MIN(MAX((H8-'配置'!$B$6)/('配置'!$B$9-'配置'!$B$6),0),1),'配置'!$B$10)),0)</f>
        <v/>
      </c>
    </row>
    <row r="9" ht="15" customHeight="1">
      <c r="A9" s="21" t="inlineStr">
        <is>
          <t>晚段终点胃口</t>
        </is>
      </c>
      <c r="B9" s="28">
        <f>'配置'!B8</f>
        <v/>
      </c>
      <c r="D9" s="21" t="inlineStr">
        <is>
          <t>波次阶段阈值(s)</t>
        </is>
      </c>
      <c r="E9" s="41">
        <f>TEXT('配置'!B13,"0")&amp;" / "&amp;TEXT('配置'!B14,"0")</f>
        <v/>
      </c>
      <c r="H9" s="41">
        <f>'配置'!$B$9*3/9</f>
        <v/>
      </c>
      <c r="I9" s="15">
        <f>ROUND(IF(H9&lt;='配置'!$B$6,'配置'!$B$4+('配置'!$B$5-'配置'!$B$4)*POWER(MIN(MAX(H9/'配置'!$B$6,0),1),'配置'!$B$7),'配置'!$B$5+('配置'!$B$8-'配置'!$B$5)*POWER(MIN(MAX((H9-'配置'!$B$6)/('配置'!$B$9-'配置'!$B$6),0),1),'配置'!$B$10)),0)</f>
        <v/>
      </c>
    </row>
    <row r="10" ht="15" customHeight="1">
      <c r="A10" s="23" t="inlineStr">
        <is>
          <t>晚段结束时间(s)</t>
        </is>
      </c>
      <c r="B10" s="29">
        <f>'配置'!B9</f>
        <v/>
      </c>
      <c r="D10" s="23" t="inlineStr">
        <is>
          <t>前/中/晚间隔(s)</t>
        </is>
      </c>
      <c r="E10" s="42">
        <f>TEXT('配置'!B15,"0.0")&amp;" / "&amp;TEXT('配置'!B16,"0.0")&amp;" / "&amp;TEXT('配置'!B17,"0.0")</f>
        <v/>
      </c>
      <c r="H10" s="41">
        <f>'配置'!$B$9*4/9</f>
        <v/>
      </c>
      <c r="I10" s="15">
        <f>ROUND(IF(H10&lt;='配置'!$B$6,'配置'!$B$4+('配置'!$B$5-'配置'!$B$4)*POWER(MIN(MAX(H10/'配置'!$B$6,0),1),'配置'!$B$7),'配置'!$B$5+('配置'!$B$8-'配置'!$B$5)*POWER(MIN(MAX((H10-'配置'!$B$6)/('配置'!$B$9-'配置'!$B$6),0),1),'配置'!$B$10)),0)</f>
        <v/>
      </c>
    </row>
    <row r="11" ht="15" customHeight="1">
      <c r="H11" s="41">
        <f>'配置'!$B$9*5/9</f>
        <v/>
      </c>
      <c r="I11" s="15">
        <f>ROUND(IF(H11&lt;='配置'!$B$6,'配置'!$B$4+('配置'!$B$5-'配置'!$B$4)*POWER(MIN(MAX(H11/'配置'!$B$6,0),1),'配置'!$B$7),'配置'!$B$5+('配置'!$B$8-'配置'!$B$5)*POWER(MIN(MAX((H11-'配置'!$B$6)/('配置'!$B$9-'配置'!$B$6),0),1),'配置'!$B$10)),0)</f>
        <v/>
      </c>
    </row>
    <row r="12" ht="15" customHeight="1">
      <c r="H12" s="41">
        <f>'配置'!$B$9*6/9</f>
        <v/>
      </c>
      <c r="I12" s="15">
        <f>ROUND(IF(H12&lt;='配置'!$B$6,'配置'!$B$4+('配置'!$B$5-'配置'!$B$4)*POWER(MIN(MAX(H12/'配置'!$B$6,0),1),'配置'!$B$7),'配置'!$B$5+('配置'!$B$8-'配置'!$B$5)*POWER(MIN(MAX((H12-'配置'!$B$6)/('配置'!$B$9-'配置'!$B$6),0),1),'配置'!$B$10)),0)</f>
        <v/>
      </c>
    </row>
    <row r="13" ht="15" customHeight="1">
      <c r="H13" s="41">
        <f>'配置'!$B$9*7/9</f>
        <v/>
      </c>
      <c r="I13" s="15">
        <f>ROUND(IF(H13&lt;='配置'!$B$6,'配置'!$B$4+('配置'!$B$5-'配置'!$B$4)*POWER(MIN(MAX(H13/'配置'!$B$6,0),1),'配置'!$B$7),'配置'!$B$5+('配置'!$B$8-'配置'!$B$5)*POWER(MIN(MAX((H13-'配置'!$B$6)/('配置'!$B$9-'配置'!$B$6),0),1),'配置'!$B$10)),0)</f>
        <v/>
      </c>
    </row>
    <row r="14" ht="15" customHeight="1">
      <c r="H14" s="41">
        <f>'配置'!$B$9*8/9</f>
        <v/>
      </c>
      <c r="I14" s="15">
        <f>ROUND(IF(H14&lt;='配置'!$B$6,'配置'!$B$4+('配置'!$B$5-'配置'!$B$4)*POWER(MIN(MAX(H14/'配置'!$B$6,0),1),'配置'!$B$7),'配置'!$B$5+('配置'!$B$8-'配置'!$B$5)*POWER(MIN(MAX((H14-'配置'!$B$6)/('配置'!$B$9-'配置'!$B$6),0),1),'配置'!$B$10)),0)</f>
        <v/>
      </c>
    </row>
    <row r="15" ht="15" customHeight="1">
      <c r="H15" s="42">
        <f>'配置'!$B$9*9/9</f>
        <v/>
      </c>
      <c r="I15" s="19">
        <f>ROUND(IF(H15&lt;='配置'!$B$6,'配置'!$B$4+('配置'!$B$5-'配置'!$B$4)*POWER(MIN(MAX(H15/'配置'!$B$6,0),1),'配置'!$B$7),'配置'!$B$5+('配置'!$B$8-'配置'!$B$5)*POWER(MIN(MAX((H15-'配置'!$B$6)/('配置'!$B$9-'配置'!$B$6),0),1),'配置'!$B$10)),0)</f>
        <v/>
      </c>
    </row>
    <row r="20" ht="28.04999923706055" customHeight="1">
      <c r="A20" s="37" t="inlineStr">
        <is>
          <t>显式事件压力预览与调参说明</t>
        </is>
      </c>
    </row>
    <row r="21" ht="30" customHeight="1">
      <c r="A21" s="38" t="inlineStr">
        <is>
          <t>请求时间(s)</t>
        </is>
      </c>
      <c r="B21" s="38" t="inlineStr">
        <is>
          <t>事件ID</t>
        </is>
      </c>
      <c r="C21" s="38" t="inlineStr">
        <is>
          <t>类型</t>
        </is>
      </c>
      <c r="D21" s="38" t="inlineStr">
        <is>
          <t>基准胃口</t>
        </is>
      </c>
      <c r="E21" s="38" t="inlineStr">
        <is>
          <t>普通p0</t>
        </is>
      </c>
      <c r="F21" s="38" t="inlineStr">
        <is>
          <t>普通p1</t>
        </is>
      </c>
      <c r="G21" s="38" t="inlineStr">
        <is>
          <t>快速p0</t>
        </is>
      </c>
      <c r="H21" s="38" t="inlineStr">
        <is>
          <t>远程p1</t>
        </is>
      </c>
      <c r="I21" s="38" t="inlineStr">
        <is>
          <t>门基础范围</t>
        </is>
      </c>
      <c r="J21" s="38" t="inlineStr">
        <is>
          <t>参数含义与修改方向</t>
        </is>
      </c>
    </row>
    <row r="22" ht="34.04999923706055" customHeight="1">
      <c r="A22" s="40">
        <f>事件!A2</f>
        <v/>
      </c>
      <c r="B22" s="31">
        <f>事件!B2</f>
        <v/>
      </c>
      <c r="C22" s="31">
        <f>事件!C2</f>
        <v/>
      </c>
      <c r="D22" s="11">
        <f>事件!E2</f>
        <v/>
      </c>
      <c r="E22" s="11">
        <f>事件!F2</f>
        <v/>
      </c>
      <c r="F22" s="11">
        <f>事件!G2</f>
        <v/>
      </c>
      <c r="G22" s="11">
        <f>事件!H2</f>
        <v/>
      </c>
      <c r="H22" s="11">
        <f>事件!K2</f>
        <v/>
      </c>
      <c r="I22" s="31">
        <f>TEXT(事件!M2,"0")&amp;"–"&amp;TEXT(事件!N2,"0")</f>
        <v/>
      </c>
      <c r="J22" s="32" t="inlineStr">
        <is>
          <t>前段起始胃口</t>
        </is>
      </c>
      <c r="K22" s="39" t="inlineStr">
        <is>
          <t>控制开局食客、门与漏怪伤害基准；本轮保持15不变。</t>
        </is>
      </c>
    </row>
    <row r="23" ht="34.04999923706055" customHeight="1">
      <c r="A23" s="41">
        <f>事件!A3</f>
        <v/>
      </c>
      <c r="B23" s="33">
        <f>事件!B3</f>
        <v/>
      </c>
      <c r="C23" s="33">
        <f>事件!C3</f>
        <v/>
      </c>
      <c r="D23" s="15">
        <f>事件!E3</f>
        <v/>
      </c>
      <c r="E23" s="15">
        <f>事件!F3</f>
        <v/>
      </c>
      <c r="F23" s="15">
        <f>事件!G3</f>
        <v/>
      </c>
      <c r="G23" s="15">
        <f>事件!H3</f>
        <v/>
      </c>
      <c r="H23" s="15">
        <f>事件!K3</f>
        <v/>
      </c>
      <c r="I23" s="33">
        <f>TEXT(事件!M3,"0")&amp;"–"&amp;TEXT(事件!N3,"0")</f>
        <v/>
      </c>
      <c r="J23" s="32" t="inlineStr">
        <is>
          <t>135秒胃口</t>
        </is>
      </c>
      <c r="K23" s="39" t="inlineStr">
        <is>
          <t>前段终点保持350；保证0～135秒压力完全不变。</t>
        </is>
      </c>
    </row>
    <row r="24" ht="34.04999923706055" customHeight="1">
      <c r="A24" s="41">
        <f>事件!A4</f>
        <v/>
      </c>
      <c r="B24" s="33">
        <f>事件!B4</f>
        <v/>
      </c>
      <c r="C24" s="33">
        <f>事件!C4</f>
        <v/>
      </c>
      <c r="D24" s="15">
        <f>事件!E4</f>
        <v/>
      </c>
      <c r="E24" s="15">
        <f>事件!F4</f>
        <v/>
      </c>
      <c r="F24" s="15">
        <f>事件!G4</f>
        <v/>
      </c>
      <c r="G24" s="15">
        <f>事件!H4</f>
        <v/>
      </c>
      <c r="H24" s="15">
        <f>事件!K4</f>
        <v/>
      </c>
      <c r="I24" s="33">
        <f>TEXT(事件!M4,"0")&amp;"–"&amp;TEXT(事件!N4,"0")</f>
        <v/>
      </c>
      <c r="J24" s="32" t="inlineStr">
        <is>
          <t>晚段终点胃口</t>
        </is>
      </c>
      <c r="K24" s="39" t="inlineStr">
        <is>
          <t>控制135秒后持续压力；首轮1200，过易或过难优先在±15%内调整。</t>
        </is>
      </c>
    </row>
    <row r="25" ht="34.04999923706055" customHeight="1">
      <c r="A25" s="41">
        <f>事件!A5</f>
        <v/>
      </c>
      <c r="B25" s="33">
        <f>事件!B5</f>
        <v/>
      </c>
      <c r="C25" s="33">
        <f>事件!C5</f>
        <v/>
      </c>
      <c r="D25" s="15">
        <f>事件!E5</f>
        <v/>
      </c>
      <c r="E25" s="15">
        <f>事件!F5</f>
        <v/>
      </c>
      <c r="F25" s="15">
        <f>事件!G5</f>
        <v/>
      </c>
      <c r="G25" s="15">
        <f>事件!H5</f>
        <v/>
      </c>
      <c r="H25" s="15">
        <f>事件!K5</f>
        <v/>
      </c>
      <c r="I25" s="33">
        <f>TEXT(事件!M5,"0")&amp;"–"&amp;TEXT(事件!N5,"0")</f>
        <v/>
      </c>
      <c r="J25" s="32" t="inlineStr">
        <is>
          <t>两段时间与指数</t>
        </is>
      </c>
      <c r="K25" s="39" t="inlineStr">
        <is>
          <t>前段15→350/135秒/2.1；晚段350→1200/270秒/1.3，270秒后封顶。</t>
        </is>
      </c>
    </row>
    <row r="26" ht="34.04999923706055" customHeight="1">
      <c r="A26" s="41">
        <f>事件!A6</f>
        <v/>
      </c>
      <c r="B26" s="33">
        <f>事件!B6</f>
        <v/>
      </c>
      <c r="C26" s="33">
        <f>事件!C6</f>
        <v/>
      </c>
      <c r="D26" s="15">
        <f>事件!E6</f>
        <v/>
      </c>
      <c r="E26" s="15">
        <f>事件!F6</f>
        <v/>
      </c>
      <c r="F26" s="15">
        <f>事件!G6</f>
        <v/>
      </c>
      <c r="G26" s="15">
        <f>事件!H6</f>
        <v/>
      </c>
      <c r="H26" s="15">
        <f>事件!K6</f>
        <v/>
      </c>
      <c r="I26" s="33">
        <f>TEXT(事件!M6,"0")&amp;"–"&amp;TEXT(事件!N6,"0")</f>
        <v/>
      </c>
      <c r="J26" s="32" t="inlineStr">
        <is>
          <t>事件时间</t>
        </is>
      </c>
      <c r="K26" s="39" t="inlineStr">
        <is>
          <t>29条事件时间保持不变；安全距离不足时仍会排队，实机出现可能稍晚。</t>
        </is>
      </c>
    </row>
    <row r="27" ht="34.04999923706055" customHeight="1">
      <c r="A27" s="41">
        <f>事件!A7</f>
        <v/>
      </c>
      <c r="B27" s="33">
        <f>事件!B7</f>
        <v/>
      </c>
      <c r="C27" s="33">
        <f>事件!C7</f>
        <v/>
      </c>
      <c r="D27" s="15">
        <f>事件!E7</f>
        <v/>
      </c>
      <c r="E27" s="15">
        <f>事件!F7</f>
        <v/>
      </c>
      <c r="F27" s="15">
        <f>事件!G7</f>
        <v/>
      </c>
      <c r="G27" s="15">
        <f>事件!H7</f>
        <v/>
      </c>
      <c r="H27" s="15">
        <f>事件!K7</f>
        <v/>
      </c>
      <c r="I27" s="33">
        <f>TEXT(事件!M7,"0")&amp;"–"&amp;TEXT(事件!N7,"0")</f>
        <v/>
      </c>
      <c r="J27" s="32" t="inlineStr">
        <is>
          <t>普通波次</t>
        </is>
      </c>
      <c r="K27" s="39" t="inlineStr">
        <is>
          <t>配置页控制8～360秒波次；78/135秒切段，间隔为3.2/2.8/3.2秒。</t>
        </is>
      </c>
    </row>
    <row r="28" ht="15" customHeight="1">
      <c r="A28" s="41">
        <f>事件!A8</f>
        <v/>
      </c>
      <c r="B28" s="33">
        <f>事件!B8</f>
        <v/>
      </c>
      <c r="C28" s="33">
        <f>事件!C8</f>
        <v/>
      </c>
      <c r="D28" s="15">
        <f>事件!E8</f>
        <v/>
      </c>
      <c r="E28" s="15">
        <f>事件!F8</f>
        <v/>
      </c>
      <c r="F28" s="15">
        <f>事件!G8</f>
        <v/>
      </c>
      <c r="G28" s="15">
        <f>事件!H8</f>
        <v/>
      </c>
      <c r="H28" s="15">
        <f>事件!K8</f>
        <v/>
      </c>
      <c r="I28" s="33">
        <f>TEXT(事件!M8,"0")&amp;"–"&amp;TEXT(事件!N8,"0")</f>
        <v/>
      </c>
    </row>
    <row r="29" ht="15" customHeight="1">
      <c r="A29" s="41">
        <f>事件!A9</f>
        <v/>
      </c>
      <c r="B29" s="33">
        <f>事件!B9</f>
        <v/>
      </c>
      <c r="C29" s="33">
        <f>事件!C9</f>
        <v/>
      </c>
      <c r="D29" s="15">
        <f>事件!E9</f>
        <v/>
      </c>
      <c r="E29" s="15">
        <f>事件!F9</f>
        <v/>
      </c>
      <c r="F29" s="15">
        <f>事件!G9</f>
        <v/>
      </c>
      <c r="G29" s="15">
        <f>事件!H9</f>
        <v/>
      </c>
      <c r="H29" s="15">
        <f>事件!K9</f>
        <v/>
      </c>
      <c r="I29" s="33">
        <f>TEXT(事件!M9,"0")&amp;"–"&amp;TEXT(事件!N9,"0")</f>
        <v/>
      </c>
    </row>
    <row r="30" ht="15" customHeight="1">
      <c r="A30" s="41">
        <f>事件!A10</f>
        <v/>
      </c>
      <c r="B30" s="33">
        <f>事件!B10</f>
        <v/>
      </c>
      <c r="C30" s="33">
        <f>事件!C10</f>
        <v/>
      </c>
      <c r="D30" s="15">
        <f>事件!E10</f>
        <v/>
      </c>
      <c r="E30" s="15">
        <f>事件!F10</f>
        <v/>
      </c>
      <c r="F30" s="15">
        <f>事件!G10</f>
        <v/>
      </c>
      <c r="G30" s="15">
        <f>事件!H10</f>
        <v/>
      </c>
      <c r="H30" s="15">
        <f>事件!K10</f>
        <v/>
      </c>
      <c r="I30" s="33">
        <f>TEXT(事件!M10,"0")&amp;"–"&amp;TEXT(事件!N10,"0")</f>
        <v/>
      </c>
    </row>
    <row r="31" ht="15" customHeight="1">
      <c r="A31" s="41">
        <f>事件!A11</f>
        <v/>
      </c>
      <c r="B31" s="33">
        <f>事件!B11</f>
        <v/>
      </c>
      <c r="C31" s="33">
        <f>事件!C11</f>
        <v/>
      </c>
      <c r="D31" s="15">
        <f>事件!E11</f>
        <v/>
      </c>
      <c r="E31" s="15">
        <f>事件!F11</f>
        <v/>
      </c>
      <c r="F31" s="15">
        <f>事件!G11</f>
        <v/>
      </c>
      <c r="G31" s="15">
        <f>事件!H11</f>
        <v/>
      </c>
      <c r="H31" s="15">
        <f>事件!K11</f>
        <v/>
      </c>
      <c r="I31" s="33">
        <f>TEXT(事件!M11,"0")&amp;"–"&amp;TEXT(事件!N11,"0")</f>
        <v/>
      </c>
    </row>
    <row r="32" ht="15" customHeight="1">
      <c r="A32" s="41">
        <f>事件!A12</f>
        <v/>
      </c>
      <c r="B32" s="33">
        <f>事件!B12</f>
        <v/>
      </c>
      <c r="C32" s="33">
        <f>事件!C12</f>
        <v/>
      </c>
      <c r="D32" s="15">
        <f>事件!E12</f>
        <v/>
      </c>
      <c r="E32" s="15">
        <f>事件!F12</f>
        <v/>
      </c>
      <c r="F32" s="15">
        <f>事件!G12</f>
        <v/>
      </c>
      <c r="G32" s="15">
        <f>事件!H12</f>
        <v/>
      </c>
      <c r="H32" s="15">
        <f>事件!K12</f>
        <v/>
      </c>
      <c r="I32" s="33">
        <f>TEXT(事件!M12,"0")&amp;"–"&amp;TEXT(事件!N12,"0")</f>
        <v/>
      </c>
    </row>
    <row r="33" ht="15" customHeight="1">
      <c r="A33" s="41">
        <f>事件!A13</f>
        <v/>
      </c>
      <c r="B33" s="33">
        <f>事件!B13</f>
        <v/>
      </c>
      <c r="C33" s="33">
        <f>事件!C13</f>
        <v/>
      </c>
      <c r="D33" s="15">
        <f>事件!E13</f>
        <v/>
      </c>
      <c r="E33" s="15">
        <f>事件!F13</f>
        <v/>
      </c>
      <c r="F33" s="15">
        <f>事件!G13</f>
        <v/>
      </c>
      <c r="G33" s="15">
        <f>事件!H13</f>
        <v/>
      </c>
      <c r="H33" s="15">
        <f>事件!K13</f>
        <v/>
      </c>
      <c r="I33" s="33">
        <f>TEXT(事件!M13,"0")&amp;"–"&amp;TEXT(事件!N13,"0")</f>
        <v/>
      </c>
    </row>
    <row r="34" ht="15" customHeight="1">
      <c r="A34" s="41">
        <f>事件!A14</f>
        <v/>
      </c>
      <c r="B34" s="33">
        <f>事件!B14</f>
        <v/>
      </c>
      <c r="C34" s="33">
        <f>事件!C14</f>
        <v/>
      </c>
      <c r="D34" s="15">
        <f>事件!E14</f>
        <v/>
      </c>
      <c r="E34" s="15">
        <f>事件!F14</f>
        <v/>
      </c>
      <c r="F34" s="15">
        <f>事件!G14</f>
        <v/>
      </c>
      <c r="G34" s="15">
        <f>事件!H14</f>
        <v/>
      </c>
      <c r="H34" s="15">
        <f>事件!K14</f>
        <v/>
      </c>
      <c r="I34" s="33">
        <f>TEXT(事件!M14,"0")&amp;"–"&amp;TEXT(事件!N14,"0")</f>
        <v/>
      </c>
    </row>
    <row r="35" ht="15" customHeight="1">
      <c r="A35" s="41">
        <f>事件!A15</f>
        <v/>
      </c>
      <c r="B35" s="33">
        <f>事件!B15</f>
        <v/>
      </c>
      <c r="C35" s="33">
        <f>事件!C15</f>
        <v/>
      </c>
      <c r="D35" s="15">
        <f>事件!E15</f>
        <v/>
      </c>
      <c r="E35" s="15">
        <f>事件!F15</f>
        <v/>
      </c>
      <c r="F35" s="15">
        <f>事件!G15</f>
        <v/>
      </c>
      <c r="G35" s="15">
        <f>事件!H15</f>
        <v/>
      </c>
      <c r="H35" s="15">
        <f>事件!K15</f>
        <v/>
      </c>
      <c r="I35" s="33">
        <f>TEXT(事件!M15,"0")&amp;"–"&amp;TEXT(事件!N15,"0")</f>
        <v/>
      </c>
    </row>
    <row r="36" ht="15" customHeight="1">
      <c r="A36" s="42">
        <f>事件!A16</f>
        <v/>
      </c>
      <c r="B36" s="34">
        <f>事件!B16</f>
        <v/>
      </c>
      <c r="C36" s="34">
        <f>事件!C16</f>
        <v/>
      </c>
      <c r="D36" s="19">
        <f>事件!E16</f>
        <v/>
      </c>
      <c r="E36" s="19">
        <f>事件!F16</f>
        <v/>
      </c>
      <c r="F36" s="19">
        <f>事件!G16</f>
        <v/>
      </c>
      <c r="G36" s="19">
        <f>事件!H16</f>
        <v/>
      </c>
      <c r="H36" s="19">
        <f>事件!K16</f>
        <v/>
      </c>
      <c r="I36" s="34">
        <f>TEXT(事件!M16,"0")&amp;"–"&amp;TEXT(事件!N16,"0")</f>
        <v/>
      </c>
    </row>
    <row r="38" ht="28.04999923706055" customHeight="1">
      <c r="A38" s="37" t="inlineStr">
        <is>
          <t>策划修改须知</t>
        </is>
      </c>
    </row>
    <row r="39" ht="31.95000076293945" customHeight="1">
      <c r="A39" s="35" t="inlineStr">
        <is>
          <t>1</t>
        </is>
      </c>
      <c r="B39" s="39" t="inlineStr">
        <is>
          <t>只修改黄色单元格；预览页和蓝色公式区不需要手填。</t>
        </is>
      </c>
    </row>
    <row r="40" ht="31.95000076293945" customHeight="1">
      <c r="A40" s="35" t="inlineStr">
        <is>
          <t>2</t>
        </is>
      </c>
      <c r="B40" s="39" t="inlineStr">
        <is>
          <t>保存并关闭 Excel 后，重新开始本局或重新运行 run.tscn 才会重新读取。</t>
        </is>
      </c>
    </row>
    <row r="41" ht="31.95000076293945" customHeight="1">
      <c r="A41" s="35" t="inlineStr">
        <is>
          <t>3</t>
        </is>
      </c>
      <c r="B41" s="39" t="inlineStr">
        <is>
          <t>事件按行顺序读取，请求时间必须从小到大或相等；事件ID必须保持唯一且受支持。</t>
        </is>
      </c>
    </row>
    <row r="42" ht="31.95000076293945" customHeight="1">
      <c r="A42" s="35" t="inlineStr">
        <is>
          <t>4</t>
        </is>
      </c>
      <c r="B42" s="39" t="inlineStr">
        <is>
          <t>文件缺失或数据非法时会回退到 data/timelines/vertical_slice.tres，并在输出面板提示。</t>
        </is>
      </c>
    </row>
  </sheetData>
  <mergeCells count="16">
    <mergeCell ref="K27:Q27"/>
    <mergeCell ref="B42:Q42"/>
    <mergeCell ref="K23:Q23"/>
    <mergeCell ref="K22:Q22"/>
    <mergeCell ref="B40:Q40"/>
    <mergeCell ref="B41:Q41"/>
    <mergeCell ref="K26:Q26"/>
    <mergeCell ref="A5:F5"/>
    <mergeCell ref="A20:Q20"/>
    <mergeCell ref="A38:Q38"/>
    <mergeCell ref="J21:Q21"/>
    <mergeCell ref="K25:Q25"/>
    <mergeCell ref="A2:Q3"/>
    <mergeCell ref="K24:Q24"/>
    <mergeCell ref="B39:Q39"/>
    <mergeCell ref="A1:Q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ColWidth="9" defaultRowHeight="14.39999961853027"/>
  <cols>
    <col width="34" customWidth="1" min="1" max="1"/>
    <col width="30" customWidth="1" min="2" max="2"/>
    <col width="36" customWidth="1" min="3" max="3"/>
    <col width="48" customWidth="1" min="4" max="4"/>
    <col width="30" customWidth="1" min="5" max="5"/>
  </cols>
  <sheetData>
    <row r="1" ht="30" customHeight="1">
      <c r="A1" s="38" t="inlineStr">
        <is>
          <t>参数ID</t>
        </is>
      </c>
      <c r="B1" s="38" t="inlineStr">
        <is>
          <t>数值</t>
        </is>
      </c>
      <c r="C1" s="38" t="inlineStr">
        <is>
          <t>说明</t>
        </is>
      </c>
      <c r="D1" s="38" t="inlineStr">
        <is>
          <t>对游戏的影响</t>
        </is>
      </c>
      <c r="E1" s="38" t="inlineStr">
        <is>
          <t>修改建议</t>
        </is>
      </c>
    </row>
    <row r="2" ht="34.04999923706055" customHeight="1">
      <c r="A2" s="20" t="inlineStr">
        <is>
          <t>schema_id</t>
        </is>
      </c>
      <c r="B2" s="9" t="inlineStr">
        <is>
          <t>xiaochuxi.encounter_timeline</t>
        </is>
      </c>
      <c r="C2" s="3" t="inlineStr">
        <is>
          <t>表结构标识，请勿修改</t>
        </is>
      </c>
      <c r="D2" s="3" t="inlineStr">
        <is>
          <t>用于确认这是小厨西时间轴表</t>
        </is>
      </c>
      <c r="E2" s="3" t="inlineStr">
        <is>
          <t>不要修改</t>
        </is>
      </c>
    </row>
    <row r="3" ht="34.04999923706055" customHeight="1">
      <c r="A3" s="21" t="inlineStr">
        <is>
          <t>schema_version</t>
        </is>
      </c>
      <c r="B3" s="22" t="n">
        <v>2</v>
      </c>
      <c r="C3" s="5" t="inlineStr">
        <is>
          <t>表结构版本，请勿修改</t>
        </is>
      </c>
      <c r="D3" s="5" t="inlineStr">
        <is>
          <t>用于识别表结构兼容性</t>
        </is>
      </c>
      <c r="E3" s="5" t="inlineStr">
        <is>
          <t>不要修改</t>
        </is>
      </c>
    </row>
    <row r="4" ht="34.04999923706055" customHeight="1">
      <c r="A4" s="21" t="inlineStr">
        <is>
          <t>baseline_appetite_start</t>
        </is>
      </c>
      <c r="B4" s="22" t="n">
        <v>15</v>
      </c>
      <c r="C4" s="5" t="inlineStr">
        <is>
          <t>基准胃口曲线起点</t>
        </is>
      </c>
      <c r="D4" s="5" t="inlineStr">
        <is>
          <t>决定开局食客、门和漏怪伤害的基准</t>
        </is>
      </c>
      <c r="E4" s="5" t="inlineStr">
        <is>
          <t>开局太难时优先降低</t>
        </is>
      </c>
    </row>
    <row r="5" ht="34.04999923706055" customHeight="1">
      <c r="A5" s="21" t="inlineStr">
        <is>
          <t>baseline_appetite_end</t>
        </is>
      </c>
      <c r="B5" s="22" t="n">
        <v>350</v>
      </c>
      <c r="C5" s="5" t="inlineStr">
        <is>
          <t>前段基准胃口终点</t>
        </is>
      </c>
      <c r="D5" s="5" t="inlineStr">
        <is>
          <t>决定0～135秒前段曲线终点</t>
        </is>
      </c>
      <c r="E5" s="5" t="inlineStr">
        <is>
          <t>前135秒过难时降低</t>
        </is>
      </c>
    </row>
    <row r="6" ht="34.04999923706055" customHeight="1">
      <c r="A6" s="21" t="inlineStr">
        <is>
          <t>baseline_appetite_end_time</t>
        </is>
      </c>
      <c r="B6" s="22" t="n">
        <v>135</v>
      </c>
      <c r="C6" s="5" t="inlineStr">
        <is>
          <t>前段达到终点胃口的时间（秒）</t>
        </is>
      </c>
      <c r="D6" s="5" t="inlineStr">
        <is>
          <t>前段曲线在此时刻结束并衔接晚段</t>
        </is>
      </c>
      <c r="E6" s="5" t="inlineStr">
        <is>
          <t>当前前段保持135秒</t>
        </is>
      </c>
    </row>
    <row r="7" ht="34.04999923706055" customHeight="1">
      <c r="A7" s="23" t="inlineStr">
        <is>
          <t>baseline_appetite_exponent</t>
        </is>
      </c>
      <c r="B7" s="24" t="n">
        <v>2.1</v>
      </c>
      <c r="C7" s="7" t="inlineStr">
        <is>
          <t>前段曲线指数</t>
        </is>
      </c>
      <c r="D7" s="7" t="inlineStr">
        <is>
          <t>只控制0～135秒；大于1时前缓后陡</t>
        </is>
      </c>
      <c r="E7" s="7" t="inlineStr">
        <is>
          <t>当前前段保持2.1</t>
        </is>
      </c>
    </row>
    <row r="8">
      <c r="A8" t="inlineStr">
        <is>
          <t>baseline_appetite_late_end</t>
        </is>
      </c>
      <c r="B8" s="69" t="n">
        <v>1200</v>
      </c>
      <c r="C8" t="inlineStr">
        <is>
          <t>晚段基准胃口终点</t>
        </is>
      </c>
      <c r="D8" t="inlineStr">
        <is>
          <t>决定135秒后至Boss前的持续压力</t>
        </is>
      </c>
      <c r="E8" t="inlineStr">
        <is>
          <t>过易或过难时优先在±15%内调整</t>
        </is>
      </c>
    </row>
    <row r="9">
      <c r="A9" t="inlineStr">
        <is>
          <t>baseline_appetite_late_end_time</t>
        </is>
      </c>
      <c r="B9" s="69" t="n">
        <v>120</v>
      </c>
      <c r="C9" t="inlineStr">
        <is>
          <t>晚段曲线结束时间（秒）</t>
        </is>
      </c>
      <c r="D9" t="inlineStr">
        <is>
          <t>此后基准胃口固定为晚段终点</t>
        </is>
      </c>
      <c r="E9" t="inlineStr">
        <is>
          <t>当前与Boss请求时间一致</t>
        </is>
      </c>
    </row>
    <row r="10">
      <c r="A10" t="inlineStr">
        <is>
          <t>baseline_appetite_late_exponent</t>
        </is>
      </c>
      <c r="B10" s="69" t="n">
        <v>1.3</v>
      </c>
      <c r="C10" t="inlineStr">
        <is>
          <t>晚段曲线指数</t>
        </is>
      </c>
      <c r="D10" t="inlineStr">
        <is>
          <t>只控制135～270秒的增长形状</t>
        </is>
      </c>
      <c r="E10" t="inlineStr">
        <is>
          <t>大于1时前缓后陡</t>
        </is>
      </c>
    </row>
    <row r="11">
      <c r="A11" t="inlineStr">
        <is>
          <t>normal_wave_start_time</t>
        </is>
      </c>
      <c r="B11" s="69" t="n">
        <v>8</v>
      </c>
      <c r="C11" t="inlineStr">
        <is>
          <t>普通波次开始时间（秒）</t>
        </is>
      </c>
      <c r="D11" t="inlineStr">
        <is>
          <t>控制第一波普通食客的原定时刻</t>
        </is>
      </c>
      <c r="E11" t="inlineStr">
        <is>
          <t>当前保持8秒</t>
        </is>
      </c>
    </row>
    <row r="12">
      <c r="A12" t="inlineStr">
        <is>
          <t>normal_wave_end_time</t>
        </is>
      </c>
      <c r="B12" s="69" t="n">
        <v>360</v>
      </c>
      <c r="C12" t="inlineStr">
        <is>
          <t>普通波次结束时间（秒）</t>
        </is>
      </c>
      <c r="D12" t="inlineStr">
        <is>
          <t>到达该时刻后不再安排新普通波次</t>
        </is>
      </c>
      <c r="E12" t="inlineStr">
        <is>
          <t>覆盖Boss后复跑段</t>
        </is>
      </c>
    </row>
    <row r="13">
      <c r="A13" t="inlineStr">
        <is>
          <t>normal_wave_early_end_time</t>
        </is>
      </c>
      <c r="B13" s="69" t="n">
        <v>78</v>
      </c>
      <c r="C13" t="inlineStr">
        <is>
          <t>前段波次结束阈值（秒）</t>
        </is>
      </c>
      <c r="D13" t="inlineStr">
        <is>
          <t>达到该时刻后使用中段间隔</t>
        </is>
      </c>
      <c r="E13" t="inlineStr">
        <is>
          <t>必须不早于波次开始</t>
        </is>
      </c>
    </row>
    <row r="14">
      <c r="A14" t="inlineStr">
        <is>
          <t>normal_wave_mid_end_time</t>
        </is>
      </c>
      <c r="B14" s="69" t="n">
        <v>135</v>
      </c>
      <c r="C14" t="inlineStr">
        <is>
          <t>中段波次结束阈值（秒）</t>
        </is>
      </c>
      <c r="D14" t="inlineStr">
        <is>
          <t>达到该时刻后使用晚段间隔</t>
        </is>
      </c>
      <c r="E14" t="inlineStr">
        <is>
          <t>当前与两段胃口交界一致</t>
        </is>
      </c>
    </row>
    <row r="15">
      <c r="A15" t="inlineStr">
        <is>
          <t>normal_wave_interval_early</t>
        </is>
      </c>
      <c r="B15" s="69" t="n">
        <v>3.2</v>
      </c>
      <c r="C15" t="inlineStr">
        <is>
          <t>前段普通波次间隔（秒）</t>
        </is>
      </c>
      <c r="D15" t="inlineStr">
        <is>
          <t>8～78秒使用</t>
        </is>
      </c>
      <c r="E15" t="inlineStr">
        <is>
          <t>必须大于0</t>
        </is>
      </c>
    </row>
    <row r="16">
      <c r="A16" t="inlineStr">
        <is>
          <t>normal_wave_interval_mid</t>
        </is>
      </c>
      <c r="B16" s="69" t="n">
        <v>2.8</v>
      </c>
      <c r="C16" t="inlineStr">
        <is>
          <t>中段普通波次间隔（秒）</t>
        </is>
      </c>
      <c r="D16" t="inlineStr">
        <is>
          <t>78～135秒使用</t>
        </is>
      </c>
      <c r="E16" t="inlineStr">
        <is>
          <t>必须大于0</t>
        </is>
      </c>
    </row>
    <row r="17">
      <c r="A17" t="inlineStr">
        <is>
          <t>normal_wave_interval_late</t>
        </is>
      </c>
      <c r="B17" s="69" t="n">
        <v>3.2</v>
      </c>
      <c r="C17" t="inlineStr">
        <is>
          <t>晚段普通波次间隔（秒）</t>
        </is>
      </c>
      <c r="D17" t="inlineStr">
        <is>
          <t>135～360秒使用</t>
        </is>
      </c>
      <c r="E17" t="inlineStr">
        <is>
          <t>画面拥挤时按0.2秒步长调整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workbookViewId="0">
      <selection activeCell="A1" sqref="A1"/>
    </sheetView>
  </sheetViews>
  <sheetFormatPr baseColWidth="8" defaultColWidth="9" defaultRowHeight="14.39999961853027"/>
  <cols>
    <col width="16" customWidth="1" min="1" max="1"/>
    <col width="22" customWidth="1" min="2" max="2"/>
    <col width="18" customWidth="1" min="3" max="3"/>
    <col width="44" customWidth="1" min="4" max="4"/>
    <col width="14" customWidth="1" min="5" max="5"/>
    <col width="12" customWidth="1" min="6" max="11"/>
    <col width="14" customWidth="1" min="12" max="14"/>
  </cols>
  <sheetData>
    <row r="1" ht="30" customHeight="1">
      <c r="A1" s="38" t="inlineStr">
        <is>
          <t>请求时间(s)</t>
        </is>
      </c>
      <c r="B1" s="38" t="inlineStr">
        <is>
          <t>事件ID</t>
        </is>
      </c>
      <c r="C1" s="38" t="inlineStr">
        <is>
          <t>类型</t>
        </is>
      </c>
      <c r="D1" s="38" t="inlineStr">
        <is>
          <t>说明</t>
        </is>
      </c>
      <c r="E1" s="38" t="inlineStr">
        <is>
          <t>基准胃口</t>
        </is>
      </c>
      <c r="F1" s="38" t="inlineStr">
        <is>
          <t>普通p0</t>
        </is>
      </c>
      <c r="G1" s="38" t="inlineStr">
        <is>
          <t>普通p1</t>
        </is>
      </c>
      <c r="H1" s="38" t="inlineStr">
        <is>
          <t>快速p0</t>
        </is>
      </c>
      <c r="I1" s="38" t="inlineStr">
        <is>
          <t>快速p1</t>
        </is>
      </c>
      <c r="J1" s="38" t="inlineStr">
        <is>
          <t>远程p0</t>
        </is>
      </c>
      <c r="K1" s="38" t="inlineStr">
        <is>
          <t>远程p1</t>
        </is>
      </c>
      <c r="L1" s="38" t="inlineStr">
        <is>
          <t>精英胃口</t>
        </is>
      </c>
      <c r="M1" s="38" t="inlineStr">
        <is>
          <t>门基础最低</t>
        </is>
      </c>
      <c r="N1" s="38" t="inlineStr">
        <is>
          <t>门基础最高</t>
        </is>
      </c>
    </row>
    <row r="2" ht="31.95000076293945" customHeight="1">
      <c r="A2" s="43" t="n">
        <v>2</v>
      </c>
      <c r="B2" s="9" t="inlineStr">
        <is>
          <t>start_gate</t>
        </is>
      </c>
      <c r="C2" s="2" t="inlineStr">
        <is>
          <t>开局食材门</t>
        </is>
      </c>
      <c r="D2" s="10" t="inlineStr">
        <is>
          <t>开局食材门，提供第一组构筑选择</t>
        </is>
      </c>
      <c r="E2" s="11">
        <f>ROUND(IF(A2&lt;='配置'!$B$6,'配置'!$B$4+('配置'!$B$5-'配置'!$B$4)*POWER(MIN(MAX(A2/'配置'!$B$6,0),1),'配置'!$B$7),'配置'!$B$5+('配置'!$B$8-'配置'!$B$5)*POWER(MIN(MAX((A2-'配置'!$B$6)/('配置'!$B$9-'配置'!$B$6),0),1),'配置'!$B$10)),0)</f>
        <v/>
      </c>
      <c r="F2" s="11">
        <f>ROUND(E2,0)</f>
        <v/>
      </c>
      <c r="G2" s="11">
        <f>ROUND(E2*2,0)</f>
        <v/>
      </c>
      <c r="H2" s="11">
        <f>ROUND(E2*0.75,0)</f>
        <v/>
      </c>
      <c r="I2" s="11">
        <f>ROUND(E2*1.5,0)</f>
        <v/>
      </c>
      <c r="J2" s="11">
        <f>ROUND(E2*1.5,0)</f>
        <v/>
      </c>
      <c r="K2" s="11">
        <f>ROUND(E2*3,0)</f>
        <v/>
      </c>
      <c r="L2" s="11">
        <f>ROUND(E2*5.625,0)</f>
        <v/>
      </c>
      <c r="M2" s="11">
        <f>ROUND(E2,0)</f>
        <v/>
      </c>
      <c r="N2" s="11">
        <f>ROUND(E2*2,0)</f>
        <v/>
      </c>
    </row>
    <row r="3" ht="31.95000076293945" customHeight="1">
      <c r="A3" s="44" t="n">
        <v>18</v>
      </c>
      <c r="B3" s="13" t="inlineStr">
        <is>
          <t>gate_0</t>
        </is>
      </c>
      <c r="C3" s="4" t="inlineStr">
        <is>
          <t>普通强化门</t>
        </is>
      </c>
      <c r="D3" s="14" t="inlineStr">
        <is>
          <t>普通强化门，请求后仍受安全生成距离约束</t>
        </is>
      </c>
      <c r="E3" s="15">
        <f>ROUND(IF(A3&lt;='配置'!$B$6,'配置'!$B$4+('配置'!$B$5-'配置'!$B$4)*POWER(MIN(MAX(A3/'配置'!$B$6,0),1),'配置'!$B$7),'配置'!$B$5+('配置'!$B$8-'配置'!$B$5)*POWER(MIN(MAX((A3-'配置'!$B$6)/('配置'!$B$9-'配置'!$B$6),0),1),'配置'!$B$10)),0)</f>
        <v/>
      </c>
      <c r="F3" s="15">
        <f>ROUND(E3,0)</f>
        <v/>
      </c>
      <c r="G3" s="15">
        <f>ROUND(E3*2,0)</f>
        <v/>
      </c>
      <c r="H3" s="15">
        <f>ROUND(E3*0.75,0)</f>
        <v/>
      </c>
      <c r="I3" s="15">
        <f>ROUND(E3*1.5,0)</f>
        <v/>
      </c>
      <c r="J3" s="15">
        <f>ROUND(E3*1.5,0)</f>
        <v/>
      </c>
      <c r="K3" s="15">
        <f>ROUND(E3*3,0)</f>
        <v/>
      </c>
      <c r="L3" s="15">
        <f>ROUND(E3*5.625,0)</f>
        <v/>
      </c>
      <c r="M3" s="15">
        <f>ROUND(E3,0)</f>
        <v/>
      </c>
      <c r="N3" s="15">
        <f>ROUND(E3*2,0)</f>
        <v/>
      </c>
    </row>
    <row r="4" ht="31.95000076293945" customHeight="1">
      <c r="A4" s="44" t="n">
        <v>30</v>
      </c>
      <c r="B4" s="13" t="inlineStr">
        <is>
          <t>gate_1</t>
        </is>
      </c>
      <c r="C4" s="4" t="inlineStr">
        <is>
          <t>普通强化门</t>
        </is>
      </c>
      <c r="D4" s="14" t="inlineStr">
        <is>
          <t>普通强化门，请求后仍受安全生成距离约束</t>
        </is>
      </c>
      <c r="E4" s="15">
        <f>ROUND(IF(A4&lt;='配置'!$B$6,'配置'!$B$4+('配置'!$B$5-'配置'!$B$4)*POWER(MIN(MAX(A4/'配置'!$B$6,0),1),'配置'!$B$7),'配置'!$B$5+('配置'!$B$8-'配置'!$B$5)*POWER(MIN(MAX((A4-'配置'!$B$6)/('配置'!$B$9-'配置'!$B$6),0),1),'配置'!$B$10)),0)</f>
        <v/>
      </c>
      <c r="F4" s="15">
        <f>ROUND(E4,0)</f>
        <v/>
      </c>
      <c r="G4" s="15">
        <f>ROUND(E4*2,0)</f>
        <v/>
      </c>
      <c r="H4" s="15">
        <f>ROUND(E4*0.75,0)</f>
        <v/>
      </c>
      <c r="I4" s="15">
        <f>ROUND(E4*1.5,0)</f>
        <v/>
      </c>
      <c r="J4" s="15">
        <f>ROUND(E4*1.5,0)</f>
        <v/>
      </c>
      <c r="K4" s="15">
        <f>ROUND(E4*3,0)</f>
        <v/>
      </c>
      <c r="L4" s="15">
        <f>ROUND(E4*5.625,0)</f>
        <v/>
      </c>
      <c r="M4" s="15">
        <f>ROUND(E4,0)</f>
        <v/>
      </c>
      <c r="N4" s="15">
        <f>ROUND(E4*2,0)</f>
        <v/>
      </c>
    </row>
    <row r="5" ht="31.95000076293945" customHeight="1">
      <c r="A5" s="44" t="n">
        <v>42</v>
      </c>
      <c r="B5" s="13" t="inlineStr">
        <is>
          <t>gate_2</t>
        </is>
      </c>
      <c r="C5" s="4" t="inlineStr">
        <is>
          <t>普通强化门</t>
        </is>
      </c>
      <c r="D5" s="14" t="inlineStr">
        <is>
          <t>普通强化门，请求后仍受安全生成距离约束</t>
        </is>
      </c>
      <c r="E5" s="15">
        <f>ROUND(IF(A5&lt;='配置'!$B$6,'配置'!$B$4+('配置'!$B$5-'配置'!$B$4)*POWER(MIN(MAX(A5/'配置'!$B$6,0),1),'配置'!$B$7),'配置'!$B$5+('配置'!$B$8-'配置'!$B$5)*POWER(MIN(MAX((A5-'配置'!$B$6)/('配置'!$B$9-'配置'!$B$6),0),1),'配置'!$B$10)),0)</f>
        <v/>
      </c>
      <c r="F5" s="15">
        <f>ROUND(E5,0)</f>
        <v/>
      </c>
      <c r="G5" s="15">
        <f>ROUND(E5*2,0)</f>
        <v/>
      </c>
      <c r="H5" s="15">
        <f>ROUND(E5*0.75,0)</f>
        <v/>
      </c>
      <c r="I5" s="15">
        <f>ROUND(E5*1.5,0)</f>
        <v/>
      </c>
      <c r="J5" s="15">
        <f>ROUND(E5*1.5,0)</f>
        <v/>
      </c>
      <c r="K5" s="15">
        <f>ROUND(E5*3,0)</f>
        <v/>
      </c>
      <c r="L5" s="15">
        <f>ROUND(E5*5.625,0)</f>
        <v/>
      </c>
      <c r="M5" s="15">
        <f>ROUND(E5,0)</f>
        <v/>
      </c>
      <c r="N5" s="15">
        <f>ROUND(E5*2,0)</f>
        <v/>
      </c>
    </row>
    <row r="6" ht="31.95000076293945" customHeight="1">
      <c r="A6" s="44" t="n">
        <v>54</v>
      </c>
      <c r="B6" s="13" t="inlineStr">
        <is>
          <t>gate_3</t>
        </is>
      </c>
      <c r="C6" s="4" t="inlineStr">
        <is>
          <t>普通强化门</t>
        </is>
      </c>
      <c r="D6" s="14" t="inlineStr">
        <is>
          <t>普通强化门，请求后仍受安全生成距离约束</t>
        </is>
      </c>
      <c r="E6" s="15">
        <f>ROUND(IF(A6&lt;='配置'!$B$6,'配置'!$B$4+('配置'!$B$5-'配置'!$B$4)*POWER(MIN(MAX(A6/'配置'!$B$6,0),1),'配置'!$B$7),'配置'!$B$5+('配置'!$B$8-'配置'!$B$5)*POWER(MIN(MAX((A6-'配置'!$B$6)/('配置'!$B$9-'配置'!$B$6),0),1),'配置'!$B$10)),0)</f>
        <v/>
      </c>
      <c r="F6" s="15">
        <f>ROUND(E6,0)</f>
        <v/>
      </c>
      <c r="G6" s="15">
        <f>ROUND(E6*2,0)</f>
        <v/>
      </c>
      <c r="H6" s="15">
        <f>ROUND(E6*0.75,0)</f>
        <v/>
      </c>
      <c r="I6" s="15">
        <f>ROUND(E6*1.5,0)</f>
        <v/>
      </c>
      <c r="J6" s="15">
        <f>ROUND(E6*1.5,0)</f>
        <v/>
      </c>
      <c r="K6" s="15">
        <f>ROUND(E6*3,0)</f>
        <v/>
      </c>
      <c r="L6" s="15">
        <f>ROUND(E6*5.625,0)</f>
        <v/>
      </c>
      <c r="M6" s="15">
        <f>ROUND(E6,0)</f>
        <v/>
      </c>
      <c r="N6" s="15">
        <f>ROUND(E6*2,0)</f>
        <v/>
      </c>
    </row>
    <row r="7" ht="31.95000076293945" customHeight="1">
      <c r="A7" s="44" t="n">
        <v>60</v>
      </c>
      <c r="B7" s="13" t="inlineStr">
        <is>
          <t>elite</t>
        </is>
      </c>
      <c r="C7" s="4" t="inlineStr">
        <is>
          <t>精英</t>
        </is>
      </c>
      <c r="D7" s="14" t="inlineStr">
        <is>
          <t>精英检查；满足后进入特殊强化选择</t>
        </is>
      </c>
      <c r="E7" s="15">
        <f>ROUND(IF(A7&lt;='配置'!$B$6,'配置'!$B$4+('配置'!$B$5-'配置'!$B$4)*POWER(MIN(MAX(A7/'配置'!$B$6,0),1),'配置'!$B$7),'配置'!$B$5+('配置'!$B$8-'配置'!$B$5)*POWER(MIN(MAX((A7-'配置'!$B$6)/('配置'!$B$9-'配置'!$B$6),0),1),'配置'!$B$10)),0)</f>
        <v/>
      </c>
      <c r="F7" s="15">
        <f>ROUND(E7,0)</f>
        <v/>
      </c>
      <c r="G7" s="15">
        <f>ROUND(E7*2,0)</f>
        <v/>
      </c>
      <c r="H7" s="15">
        <f>ROUND(E7*0.75,0)</f>
        <v/>
      </c>
      <c r="I7" s="15">
        <f>ROUND(E7*1.5,0)</f>
        <v/>
      </c>
      <c r="J7" s="15">
        <f>ROUND(E7*1.5,0)</f>
        <v/>
      </c>
      <c r="K7" s="15">
        <f>ROUND(E7*3,0)</f>
        <v/>
      </c>
      <c r="L7" s="15">
        <f>ROUND(E7*5.625,0)</f>
        <v/>
      </c>
      <c r="M7" s="15">
        <f>ROUND(E7,0)</f>
        <v/>
      </c>
      <c r="N7" s="15">
        <f>ROUND(E7*2,0)</f>
        <v/>
      </c>
    </row>
    <row r="8" ht="31.95000076293945" customHeight="1">
      <c r="A8" s="44" t="n">
        <v>72</v>
      </c>
      <c r="B8" s="13" t="inlineStr">
        <is>
          <t>gate_4</t>
        </is>
      </c>
      <c r="C8" s="4" t="inlineStr">
        <is>
          <t>普通强化门</t>
        </is>
      </c>
      <c r="D8" s="14" t="inlineStr">
        <is>
          <t>普通强化门，请求后仍受安全生成距离约束</t>
        </is>
      </c>
      <c r="E8" s="15">
        <f>ROUND(IF(A8&lt;='配置'!$B$6,'配置'!$B$4+('配置'!$B$5-'配置'!$B$4)*POWER(MIN(MAX(A8/'配置'!$B$6,0),1),'配置'!$B$7),'配置'!$B$5+('配置'!$B$8-'配置'!$B$5)*POWER(MIN(MAX((A8-'配置'!$B$6)/('配置'!$B$9-'配置'!$B$6),0),1),'配置'!$B$10)),0)</f>
        <v/>
      </c>
      <c r="F8" s="15">
        <f>ROUND(E8,0)</f>
        <v/>
      </c>
      <c r="G8" s="15">
        <f>ROUND(E8*2,0)</f>
        <v/>
      </c>
      <c r="H8" s="15">
        <f>ROUND(E8*0.75,0)</f>
        <v/>
      </c>
      <c r="I8" s="15">
        <f>ROUND(E8*1.5,0)</f>
        <v/>
      </c>
      <c r="J8" s="15">
        <f>ROUND(E8*1.5,0)</f>
        <v/>
      </c>
      <c r="K8" s="15">
        <f>ROUND(E8*3,0)</f>
        <v/>
      </c>
      <c r="L8" s="15">
        <f>ROUND(E8*5.625,0)</f>
        <v/>
      </c>
      <c r="M8" s="15">
        <f>ROUND(E8,0)</f>
        <v/>
      </c>
      <c r="N8" s="15">
        <f>ROUND(E8*2,0)</f>
        <v/>
      </c>
    </row>
    <row r="9" ht="31.95000076293945" customHeight="1">
      <c r="A9" s="44" t="n">
        <v>84</v>
      </c>
      <c r="B9" s="13" t="inlineStr">
        <is>
          <t>gate_5</t>
        </is>
      </c>
      <c r="C9" s="4" t="inlineStr">
        <is>
          <t>普通强化门</t>
        </is>
      </c>
      <c r="D9" s="14" t="inlineStr">
        <is>
          <t>普通强化门，请求后仍受安全生成距离约束</t>
        </is>
      </c>
      <c r="E9" s="15">
        <f>ROUND(IF(A9&lt;='配置'!$B$6,'配置'!$B$4+('配置'!$B$5-'配置'!$B$4)*POWER(MIN(MAX(A9/'配置'!$B$6,0),1),'配置'!$B$7),'配置'!$B$5+('配置'!$B$8-'配置'!$B$5)*POWER(MIN(MAX((A9-'配置'!$B$6)/('配置'!$B$9-'配置'!$B$6),0),1),'配置'!$B$10)),0)</f>
        <v/>
      </c>
      <c r="F9" s="15">
        <f>ROUND(E9,0)</f>
        <v/>
      </c>
      <c r="G9" s="15">
        <f>ROUND(E9*2,0)</f>
        <v/>
      </c>
      <c r="H9" s="15">
        <f>ROUND(E9*0.75,0)</f>
        <v/>
      </c>
      <c r="I9" s="15">
        <f>ROUND(E9*1.5,0)</f>
        <v/>
      </c>
      <c r="J9" s="15">
        <f>ROUND(E9*1.5,0)</f>
        <v/>
      </c>
      <c r="K9" s="15">
        <f>ROUND(E9*3,0)</f>
        <v/>
      </c>
      <c r="L9" s="15">
        <f>ROUND(E9*5.625,0)</f>
        <v/>
      </c>
      <c r="M9" s="15">
        <f>ROUND(E9,0)</f>
        <v/>
      </c>
      <c r="N9" s="15">
        <f>ROUND(E9*2,0)</f>
        <v/>
      </c>
    </row>
    <row r="10" ht="31.95000076293945" customHeight="1">
      <c r="A10" s="44" t="n">
        <v>96</v>
      </c>
      <c r="B10" s="13" t="inlineStr">
        <is>
          <t>gate_6</t>
        </is>
      </c>
      <c r="C10" s="4" t="inlineStr">
        <is>
          <t>普通强化门</t>
        </is>
      </c>
      <c r="D10" s="14" t="inlineStr">
        <is>
          <t>普通强化门，请求后仍受安全生成距离约束</t>
        </is>
      </c>
      <c r="E10" s="15">
        <f>ROUND(IF(A10&lt;='配置'!$B$6,'配置'!$B$4+('配置'!$B$5-'配置'!$B$4)*POWER(MIN(MAX(A10/'配置'!$B$6,0),1),'配置'!$B$7),'配置'!$B$5+('配置'!$B$8-'配置'!$B$5)*POWER(MIN(MAX((A10-'配置'!$B$6)/('配置'!$B$9-'配置'!$B$6),0),1),'配置'!$B$10)),0)</f>
        <v/>
      </c>
      <c r="F10" s="15">
        <f>ROUND(E10,0)</f>
        <v/>
      </c>
      <c r="G10" s="15">
        <f>ROUND(E10*2,0)</f>
        <v/>
      </c>
      <c r="H10" s="15">
        <f>ROUND(E10*0.75,0)</f>
        <v/>
      </c>
      <c r="I10" s="15">
        <f>ROUND(E10*1.5,0)</f>
        <v/>
      </c>
      <c r="J10" s="15">
        <f>ROUND(E10*1.5,0)</f>
        <v/>
      </c>
      <c r="K10" s="15">
        <f>ROUND(E10*3,0)</f>
        <v/>
      </c>
      <c r="L10" s="15">
        <f>ROUND(E10*5.625,0)</f>
        <v/>
      </c>
      <c r="M10" s="15">
        <f>ROUND(E10,0)</f>
        <v/>
      </c>
      <c r="N10" s="15">
        <f>ROUND(E10*2,0)</f>
        <v/>
      </c>
    </row>
    <row r="11" ht="31.95000076293945" customHeight="1">
      <c r="A11" s="44" t="n">
        <v>108</v>
      </c>
      <c r="B11" s="13" t="inlineStr">
        <is>
          <t>gate_7</t>
        </is>
      </c>
      <c r="C11" s="4" t="inlineStr">
        <is>
          <t>普通强化门</t>
        </is>
      </c>
      <c r="D11" s="14" t="inlineStr">
        <is>
          <t>普通强化门，请求后仍受安全生成距离约束</t>
        </is>
      </c>
      <c r="E11" s="15">
        <f>ROUND(IF(A11&lt;='配置'!$B$6,'配置'!$B$4+('配置'!$B$5-'配置'!$B$4)*POWER(MIN(MAX(A11/'配置'!$B$6,0),1),'配置'!$B$7),'配置'!$B$5+('配置'!$B$8-'配置'!$B$5)*POWER(MIN(MAX((A11-'配置'!$B$6)/('配置'!$B$9-'配置'!$B$6),0),1),'配置'!$B$10)),0)</f>
        <v/>
      </c>
      <c r="F11" s="15">
        <f>ROUND(E11,0)</f>
        <v/>
      </c>
      <c r="G11" s="15">
        <f>ROUND(E11*2,0)</f>
        <v/>
      </c>
      <c r="H11" s="15">
        <f>ROUND(E11*0.75,0)</f>
        <v/>
      </c>
      <c r="I11" s="15">
        <f>ROUND(E11*1.5,0)</f>
        <v/>
      </c>
      <c r="J11" s="15">
        <f>ROUND(E11*1.5,0)</f>
        <v/>
      </c>
      <c r="K11" s="15">
        <f>ROUND(E11*3,0)</f>
        <v/>
      </c>
      <c r="L11" s="15">
        <f>ROUND(E11*5.625,0)</f>
        <v/>
      </c>
      <c r="M11" s="15">
        <f>ROUND(E11,0)</f>
        <v/>
      </c>
      <c r="N11" s="15">
        <f>ROUND(E11*2,0)</f>
        <v/>
      </c>
    </row>
    <row r="12" ht="31.95000076293945" customHeight="1">
      <c r="A12" s="44" t="n">
        <v>120</v>
      </c>
      <c r="B12" s="13" t="inlineStr">
        <is>
          <t>gate_8</t>
        </is>
      </c>
      <c r="C12" s="4" t="inlineStr">
        <is>
          <t>普通强化门</t>
        </is>
      </c>
      <c r="D12" s="14" t="inlineStr">
        <is>
          <t>普通强化门，请求后仍受安全生成距离约束</t>
        </is>
      </c>
      <c r="E12" s="15">
        <f>ROUND(IF(A12&lt;='配置'!$B$6,'配置'!$B$4+('配置'!$B$5-'配置'!$B$4)*POWER(MIN(MAX(A12/'配置'!$B$6,0),1),'配置'!$B$7),'配置'!$B$5+('配置'!$B$8-'配置'!$B$5)*POWER(MIN(MAX((A12-'配置'!$B$6)/('配置'!$B$9-'配置'!$B$6),0),1),'配置'!$B$10)),0)</f>
        <v/>
      </c>
      <c r="F12" s="15">
        <f>ROUND(E12,0)</f>
        <v/>
      </c>
      <c r="G12" s="15">
        <f>ROUND(E12*2,0)</f>
        <v/>
      </c>
      <c r="H12" s="15">
        <f>ROUND(E12*0.75,0)</f>
        <v/>
      </c>
      <c r="I12" s="15">
        <f>ROUND(E12*1.5,0)</f>
        <v/>
      </c>
      <c r="J12" s="15">
        <f>ROUND(E12*1.5,0)</f>
        <v/>
      </c>
      <c r="K12" s="15">
        <f>ROUND(E12*3,0)</f>
        <v/>
      </c>
      <c r="L12" s="15">
        <f>ROUND(E12*5.625,0)</f>
        <v/>
      </c>
      <c r="M12" s="15">
        <f>ROUND(E12,0)</f>
        <v/>
      </c>
      <c r="N12" s="15">
        <f>ROUND(E12*2,0)</f>
        <v/>
      </c>
    </row>
    <row r="13" ht="31.95000076293945" customHeight="1">
      <c r="A13" s="44" t="n">
        <v>132</v>
      </c>
      <c r="B13" s="13" t="inlineStr">
        <is>
          <t>gate_9</t>
        </is>
      </c>
      <c r="C13" s="4" t="inlineStr">
        <is>
          <t>普通强化门</t>
        </is>
      </c>
      <c r="D13" s="14" t="inlineStr">
        <is>
          <t>普通强化门，请求后仍受安全生成距离约束</t>
        </is>
      </c>
      <c r="E13" s="15">
        <f>ROUND(IF(A13&lt;='配置'!$B$6,'配置'!$B$4+('配置'!$B$5-'配置'!$B$4)*POWER(MIN(MAX(A13/'配置'!$B$6,0),1),'配置'!$B$7),'配置'!$B$5+('配置'!$B$8-'配置'!$B$5)*POWER(MIN(MAX((A13-'配置'!$B$6)/('配置'!$B$9-'配置'!$B$6),0),1),'配置'!$B$10)),0)</f>
        <v/>
      </c>
      <c r="F13" s="15">
        <f>ROUND(E13,0)</f>
        <v/>
      </c>
      <c r="G13" s="15">
        <f>ROUND(E13*2,0)</f>
        <v/>
      </c>
      <c r="H13" s="15">
        <f>ROUND(E13*0.75,0)</f>
        <v/>
      </c>
      <c r="I13" s="15">
        <f>ROUND(E13*1.5,0)</f>
        <v/>
      </c>
      <c r="J13" s="15">
        <f>ROUND(E13*1.5,0)</f>
        <v/>
      </c>
      <c r="K13" s="15">
        <f>ROUND(E13*3,0)</f>
        <v/>
      </c>
      <c r="L13" s="15">
        <f>ROUND(E13*5.625,0)</f>
        <v/>
      </c>
      <c r="M13" s="15">
        <f>ROUND(E13,0)</f>
        <v/>
      </c>
      <c r="N13" s="15">
        <f>ROUND(E13*2,0)</f>
        <v/>
      </c>
    </row>
    <row r="14" ht="31.95000076293945" customHeight="1">
      <c r="A14" s="44" t="n">
        <v>135</v>
      </c>
      <c r="B14" s="13" t="inlineStr">
        <is>
          <t>elite</t>
        </is>
      </c>
      <c r="C14" s="4" t="inlineStr">
        <is>
          <t>精英</t>
        </is>
      </c>
      <c r="D14" s="14" t="inlineStr">
        <is>
          <t>精英检查；满足后进入特殊强化选择</t>
        </is>
      </c>
      <c r="E14" s="15">
        <f>ROUND(IF(A14&lt;='配置'!$B$6,'配置'!$B$4+('配置'!$B$5-'配置'!$B$4)*POWER(MIN(MAX(A14/'配置'!$B$6,0),1),'配置'!$B$7),'配置'!$B$5+('配置'!$B$8-'配置'!$B$5)*POWER(MIN(MAX((A14-'配置'!$B$6)/('配置'!$B$9-'配置'!$B$6),0),1),'配置'!$B$10)),0)</f>
        <v/>
      </c>
      <c r="F14" s="15">
        <f>ROUND(E14,0)</f>
        <v/>
      </c>
      <c r="G14" s="15">
        <f>ROUND(E14*2,0)</f>
        <v/>
      </c>
      <c r="H14" s="15">
        <f>ROUND(E14*0.75,0)</f>
        <v/>
      </c>
      <c r="I14" s="15">
        <f>ROUND(E14*1.5,0)</f>
        <v/>
      </c>
      <c r="J14" s="15">
        <f>ROUND(E14*1.5,0)</f>
        <v/>
      </c>
      <c r="K14" s="15">
        <f>ROUND(E14*3,0)</f>
        <v/>
      </c>
      <c r="L14" s="15">
        <f>ROUND(E14*5.625,0)</f>
        <v/>
      </c>
      <c r="M14" s="15">
        <f>ROUND(E14,0)</f>
        <v/>
      </c>
      <c r="N14" s="15">
        <f>ROUND(E14*2,0)</f>
        <v/>
      </c>
    </row>
    <row r="15" ht="31.95000076293945" customHeight="1">
      <c r="A15" s="44" t="n">
        <v>150</v>
      </c>
      <c r="B15" s="13" t="inlineStr">
        <is>
          <t>gate_10</t>
        </is>
      </c>
      <c r="C15" s="4" t="inlineStr">
        <is>
          <t>普通强化门</t>
        </is>
      </c>
      <c r="D15" s="14" t="inlineStr">
        <is>
          <t>普通强化门，请求后仍受安全生成距离约束</t>
        </is>
      </c>
      <c r="E15" s="15">
        <f>ROUND(IF(A15&lt;='配置'!$B$6,'配置'!$B$4+('配置'!$B$5-'配置'!$B$4)*POWER(MIN(MAX(A15/'配置'!$B$6,0),1),'配置'!$B$7),'配置'!$B$5+('配置'!$B$8-'配置'!$B$5)*POWER(MIN(MAX((A15-'配置'!$B$6)/('配置'!$B$9-'配置'!$B$6),0),1),'配置'!$B$10)),0)</f>
        <v/>
      </c>
      <c r="F15" s="15">
        <f>ROUND(E15,0)</f>
        <v/>
      </c>
      <c r="G15" s="15">
        <f>ROUND(E15*2,0)</f>
        <v/>
      </c>
      <c r="H15" s="15">
        <f>ROUND(E15*0.75,0)</f>
        <v/>
      </c>
      <c r="I15" s="15">
        <f>ROUND(E15*1.5,0)</f>
        <v/>
      </c>
      <c r="J15" s="15">
        <f>ROUND(E15*1.5,0)</f>
        <v/>
      </c>
      <c r="K15" s="15">
        <f>ROUND(E15*3,0)</f>
        <v/>
      </c>
      <c r="L15" s="15">
        <f>ROUND(E15*5.625,0)</f>
        <v/>
      </c>
      <c r="M15" s="15">
        <f>ROUND(E15,0)</f>
        <v/>
      </c>
      <c r="N15" s="15">
        <f>ROUND(E15*2,0)</f>
        <v/>
      </c>
    </row>
    <row r="16" ht="31.95000076293945" customHeight="1">
      <c r="A16" s="45" t="n">
        <v>162</v>
      </c>
      <c r="B16" s="17" t="inlineStr">
        <is>
          <t>gate_11</t>
        </is>
      </c>
      <c r="C16" s="6" t="inlineStr">
        <is>
          <t>普通强化门</t>
        </is>
      </c>
      <c r="D16" s="18" t="inlineStr">
        <is>
          <t>普通强化门，请求后仍受安全生成距离约束</t>
        </is>
      </c>
      <c r="E16" s="19">
        <f>ROUND(IF(A16&lt;='配置'!$B$6,'配置'!$B$4+('配置'!$B$5-'配置'!$B$4)*POWER(MIN(MAX(A16/'配置'!$B$6,0),1),'配置'!$B$7),'配置'!$B$5+('配置'!$B$8-'配置'!$B$5)*POWER(MIN(MAX((A16-'配置'!$B$6)/('配置'!$B$9-'配置'!$B$6),0),1),'配置'!$B$10)),0)</f>
        <v/>
      </c>
      <c r="F16" s="19">
        <f>ROUND(E16,0)</f>
        <v/>
      </c>
      <c r="G16" s="19">
        <f>ROUND(E16*2,0)</f>
        <v/>
      </c>
      <c r="H16" s="19">
        <f>ROUND(E16*0.75,0)</f>
        <v/>
      </c>
      <c r="I16" s="19">
        <f>ROUND(E16*1.5,0)</f>
        <v/>
      </c>
      <c r="J16" s="19">
        <f>ROUND(E16*1.5,0)</f>
        <v/>
      </c>
      <c r="K16" s="19">
        <f>ROUND(E16*3,0)</f>
        <v/>
      </c>
      <c r="L16" s="19">
        <f>ROUND(E16*5.625,0)</f>
        <v/>
      </c>
      <c r="M16" s="19">
        <f>ROUND(E16,0)</f>
        <v/>
      </c>
      <c r="N16" s="19">
        <f>ROUND(E16*2,0)</f>
        <v/>
      </c>
    </row>
    <row r="17" ht="22" customHeight="1">
      <c r="A17" s="66" t="n">
        <v>174</v>
      </c>
      <c r="B17" s="51" t="inlineStr">
        <is>
          <t>gate_12</t>
        </is>
      </c>
      <c r="C17" s="56" t="inlineStr">
        <is>
          <t>普通强化门</t>
        </is>
      </c>
      <c r="D17" s="57" t="inlineStr">
        <is>
          <t>普通强化门，请求后仍受安全生成距离约束</t>
        </is>
      </c>
      <c r="E17" s="63">
        <f>ROUND(IF(A17&lt;='配置'!$B$6,'配置'!$B$4+('配置'!$B$5-'配置'!$B$4)*POWER(MIN(MAX(A17/'配置'!$B$6,0),1),'配置'!$B$7),'配置'!$B$5+('配置'!$B$8-'配置'!$B$5)*POWER(MIN(MAX((A17-'配置'!$B$6)/('配置'!$B$9-'配置'!$B$6),0),1),'配置'!$B$10)),0)</f>
        <v/>
      </c>
      <c r="F17" s="64">
        <f>ROUND(E17,0)</f>
        <v/>
      </c>
      <c r="G17" s="64">
        <f>ROUND(E17*2,0)</f>
        <v/>
      </c>
      <c r="H17" s="64">
        <f>ROUND(E17*0.75,0)</f>
        <v/>
      </c>
      <c r="I17" s="64">
        <f>ROUND(E17*1.5,0)</f>
        <v/>
      </c>
      <c r="J17" s="64">
        <f>ROUND(E17*1.5,0)</f>
        <v/>
      </c>
      <c r="K17" s="64">
        <f>ROUND(E17*3,0)</f>
        <v/>
      </c>
      <c r="L17" s="64">
        <f>ROUND(E17*5.625,0)</f>
        <v/>
      </c>
      <c r="M17" s="64">
        <f>ROUND(E17,0)</f>
        <v/>
      </c>
      <c r="N17" s="65">
        <f>ROUND(E17*2,0)</f>
        <v/>
      </c>
    </row>
    <row r="18" ht="22" customHeight="1">
      <c r="A18" s="66" t="n">
        <v>186</v>
      </c>
      <c r="B18" s="51" t="inlineStr">
        <is>
          <t>gate_13</t>
        </is>
      </c>
      <c r="C18" s="56" t="inlineStr">
        <is>
          <t>普通强化门</t>
        </is>
      </c>
      <c r="D18" s="57" t="inlineStr">
        <is>
          <t>普通强化门，请求后仍受安全生成距离约束</t>
        </is>
      </c>
      <c r="E18" s="63">
        <f>ROUND(IF(A18&lt;='配置'!$B$6,'配置'!$B$4+('配置'!$B$5-'配置'!$B$4)*POWER(MIN(MAX(A18/'配置'!$B$6,0),1),'配置'!$B$7),'配置'!$B$5+('配置'!$B$8-'配置'!$B$5)*POWER(MIN(MAX((A18-'配置'!$B$6)/('配置'!$B$9-'配置'!$B$6),0),1),'配置'!$B$10)),0)</f>
        <v/>
      </c>
      <c r="F18" s="64">
        <f>ROUND(E18,0)</f>
        <v/>
      </c>
      <c r="G18" s="64">
        <f>ROUND(E18*2,0)</f>
        <v/>
      </c>
      <c r="H18" s="64">
        <f>ROUND(E18*0.75,0)</f>
        <v/>
      </c>
      <c r="I18" s="64">
        <f>ROUND(E18*1.5,0)</f>
        <v/>
      </c>
      <c r="J18" s="64">
        <f>ROUND(E18*1.5,0)</f>
        <v/>
      </c>
      <c r="K18" s="64">
        <f>ROUND(E18*3,0)</f>
        <v/>
      </c>
      <c r="L18" s="64">
        <f>ROUND(E18*5.625,0)</f>
        <v/>
      </c>
      <c r="M18" s="64">
        <f>ROUND(E18,0)</f>
        <v/>
      </c>
      <c r="N18" s="65">
        <f>ROUND(E18*2,0)</f>
        <v/>
      </c>
    </row>
    <row r="19" ht="22" customHeight="1">
      <c r="A19" s="66" t="n">
        <v>198</v>
      </c>
      <c r="B19" s="51" t="inlineStr">
        <is>
          <t>gate_14</t>
        </is>
      </c>
      <c r="C19" s="56" t="inlineStr">
        <is>
          <t>普通强化门</t>
        </is>
      </c>
      <c r="D19" s="57" t="inlineStr">
        <is>
          <t>普通强化门，请求后仍受安全生成距离约束</t>
        </is>
      </c>
      <c r="E19" s="63">
        <f>ROUND(IF(A19&lt;='配置'!$B$6,'配置'!$B$4+('配置'!$B$5-'配置'!$B$4)*POWER(MIN(MAX(A19/'配置'!$B$6,0),1),'配置'!$B$7),'配置'!$B$5+('配置'!$B$8-'配置'!$B$5)*POWER(MIN(MAX((A19-'配置'!$B$6)/('配置'!$B$9-'配置'!$B$6),0),1),'配置'!$B$10)),0)</f>
        <v/>
      </c>
      <c r="F19" s="64">
        <f>ROUND(E19,0)</f>
        <v/>
      </c>
      <c r="G19" s="64">
        <f>ROUND(E19*2,0)</f>
        <v/>
      </c>
      <c r="H19" s="64">
        <f>ROUND(E19*0.75,0)</f>
        <v/>
      </c>
      <c r="I19" s="64">
        <f>ROUND(E19*1.5,0)</f>
        <v/>
      </c>
      <c r="J19" s="64">
        <f>ROUND(E19*1.5,0)</f>
        <v/>
      </c>
      <c r="K19" s="64">
        <f>ROUND(E19*3,0)</f>
        <v/>
      </c>
      <c r="L19" s="64">
        <f>ROUND(E19*5.625,0)</f>
        <v/>
      </c>
      <c r="M19" s="64">
        <f>ROUND(E19,0)</f>
        <v/>
      </c>
      <c r="N19" s="65">
        <f>ROUND(E19*2,0)</f>
        <v/>
      </c>
    </row>
    <row r="20" ht="22" customHeight="1">
      <c r="A20" s="66" t="n">
        <v>208</v>
      </c>
      <c r="B20" s="51" t="inlineStr">
        <is>
          <t>gate_15</t>
        </is>
      </c>
      <c r="C20" s="56" t="inlineStr">
        <is>
          <t>普通强化门</t>
        </is>
      </c>
      <c r="D20" s="57" t="inlineStr">
        <is>
          <t>普通强化门，请求后仍受安全生成距离约束</t>
        </is>
      </c>
      <c r="E20" s="63">
        <f>ROUND(IF(A20&lt;='配置'!$B$6,'配置'!$B$4+('配置'!$B$5-'配置'!$B$4)*POWER(MIN(MAX(A20/'配置'!$B$6,0),1),'配置'!$B$7),'配置'!$B$5+('配置'!$B$8-'配置'!$B$5)*POWER(MIN(MAX((A20-'配置'!$B$6)/('配置'!$B$9-'配置'!$B$6),0),1),'配置'!$B$10)),0)</f>
        <v/>
      </c>
      <c r="F20" s="64">
        <f>ROUND(E20,0)</f>
        <v/>
      </c>
      <c r="G20" s="64">
        <f>ROUND(E20*2,0)</f>
        <v/>
      </c>
      <c r="H20" s="64">
        <f>ROUND(E20*0.75,0)</f>
        <v/>
      </c>
      <c r="I20" s="64">
        <f>ROUND(E20*1.5,0)</f>
        <v/>
      </c>
      <c r="J20" s="64">
        <f>ROUND(E20*1.5,0)</f>
        <v/>
      </c>
      <c r="K20" s="64">
        <f>ROUND(E20*3,0)</f>
        <v/>
      </c>
      <c r="L20" s="64">
        <f>ROUND(E20*5.625,0)</f>
        <v/>
      </c>
      <c r="M20" s="64">
        <f>ROUND(E20,0)</f>
        <v/>
      </c>
      <c r="N20" s="65">
        <f>ROUND(E20*2,0)</f>
        <v/>
      </c>
    </row>
    <row r="21" ht="22" customHeight="1">
      <c r="A21" s="66" t="n">
        <v>210</v>
      </c>
      <c r="B21" s="51" t="inlineStr">
        <is>
          <t>elite</t>
        </is>
      </c>
      <c r="C21" s="56" t="inlineStr">
        <is>
          <t>精英</t>
        </is>
      </c>
      <c r="D21" s="57" t="inlineStr">
        <is>
          <t>精英检查；满足后进入特殊强化选择</t>
        </is>
      </c>
      <c r="E21" s="63">
        <f>ROUND(IF(A21&lt;='配置'!$B$6,'配置'!$B$4+('配置'!$B$5-'配置'!$B$4)*POWER(MIN(MAX(A21/'配置'!$B$6,0),1),'配置'!$B$7),'配置'!$B$5+('配置'!$B$8-'配置'!$B$5)*POWER(MIN(MAX((A21-'配置'!$B$6)/('配置'!$B$9-'配置'!$B$6),0),1),'配置'!$B$10)),0)</f>
        <v/>
      </c>
      <c r="F21" s="64">
        <f>ROUND(E21,0)</f>
        <v/>
      </c>
      <c r="G21" s="64">
        <f>ROUND(E21*2,0)</f>
        <v/>
      </c>
      <c r="H21" s="64">
        <f>ROUND(E21*0.75,0)</f>
        <v/>
      </c>
      <c r="I21" s="64">
        <f>ROUND(E21*1.5,0)</f>
        <v/>
      </c>
      <c r="J21" s="64">
        <f>ROUND(E21*1.5,0)</f>
        <v/>
      </c>
      <c r="K21" s="64">
        <f>ROUND(E21*3,0)</f>
        <v/>
      </c>
      <c r="L21" s="64">
        <f>ROUND(E21*5.625,0)</f>
        <v/>
      </c>
      <c r="M21" s="64">
        <f>ROUND(E21,0)</f>
        <v/>
      </c>
      <c r="N21" s="65">
        <f>ROUND(E21*2,0)</f>
        <v/>
      </c>
    </row>
    <row r="22" ht="22" customHeight="1">
      <c r="A22" s="66" t="n">
        <v>222</v>
      </c>
      <c r="B22" s="51" t="inlineStr">
        <is>
          <t>gate_16</t>
        </is>
      </c>
      <c r="C22" s="56" t="inlineStr">
        <is>
          <t>普通强化门</t>
        </is>
      </c>
      <c r="D22" s="57" t="inlineStr">
        <is>
          <t>普通强化门，请求后仍受安全生成距离约束</t>
        </is>
      </c>
      <c r="E22" s="63">
        <f>ROUND(IF(A22&lt;='配置'!$B$6,'配置'!$B$4+('配置'!$B$5-'配置'!$B$4)*POWER(MIN(MAX(A22/'配置'!$B$6,0),1),'配置'!$B$7),'配置'!$B$5+('配置'!$B$8-'配置'!$B$5)*POWER(MIN(MAX((A22-'配置'!$B$6)/('配置'!$B$9-'配置'!$B$6),0),1),'配置'!$B$10)),0)</f>
        <v/>
      </c>
      <c r="F22" s="64">
        <f>ROUND(E22,0)</f>
        <v/>
      </c>
      <c r="G22" s="64">
        <f>ROUND(E22*2,0)</f>
        <v/>
      </c>
      <c r="H22" s="64">
        <f>ROUND(E22*0.75,0)</f>
        <v/>
      </c>
      <c r="I22" s="64">
        <f>ROUND(E22*1.5,0)</f>
        <v/>
      </c>
      <c r="J22" s="64">
        <f>ROUND(E22*1.5,0)</f>
        <v/>
      </c>
      <c r="K22" s="64">
        <f>ROUND(E22*3,0)</f>
        <v/>
      </c>
      <c r="L22" s="64">
        <f>ROUND(E22*5.625,0)</f>
        <v/>
      </c>
      <c r="M22" s="64">
        <f>ROUND(E22,0)</f>
        <v/>
      </c>
      <c r="N22" s="65">
        <f>ROUND(E22*2,0)</f>
        <v/>
      </c>
    </row>
    <row r="23" ht="22" customHeight="1">
      <c r="A23" s="66" t="n">
        <v>234</v>
      </c>
      <c r="B23" s="51" t="inlineStr">
        <is>
          <t>gate_17</t>
        </is>
      </c>
      <c r="C23" s="56" t="inlineStr">
        <is>
          <t>普通强化门</t>
        </is>
      </c>
      <c r="D23" s="57" t="inlineStr">
        <is>
          <t>普通强化门，请求后仍受安全生成距离约束</t>
        </is>
      </c>
      <c r="E23" s="63">
        <f>ROUND(IF(A23&lt;='配置'!$B$6,'配置'!$B$4+('配置'!$B$5-'配置'!$B$4)*POWER(MIN(MAX(A23/'配置'!$B$6,0),1),'配置'!$B$7),'配置'!$B$5+('配置'!$B$8-'配置'!$B$5)*POWER(MIN(MAX((A23-'配置'!$B$6)/('配置'!$B$9-'配置'!$B$6),0),1),'配置'!$B$10)),0)</f>
        <v/>
      </c>
      <c r="F23" s="64">
        <f>ROUND(E23,0)</f>
        <v/>
      </c>
      <c r="G23" s="64">
        <f>ROUND(E23*2,0)</f>
        <v/>
      </c>
      <c r="H23" s="64">
        <f>ROUND(E23*0.75,0)</f>
        <v/>
      </c>
      <c r="I23" s="64">
        <f>ROUND(E23*1.5,0)</f>
        <v/>
      </c>
      <c r="J23" s="64">
        <f>ROUND(E23*1.5,0)</f>
        <v/>
      </c>
      <c r="K23" s="64">
        <f>ROUND(E23*3,0)</f>
        <v/>
      </c>
      <c r="L23" s="64">
        <f>ROUND(E23*5.625,0)</f>
        <v/>
      </c>
      <c r="M23" s="64">
        <f>ROUND(E23,0)</f>
        <v/>
      </c>
      <c r="N23" s="65">
        <f>ROUND(E23*2,0)</f>
        <v/>
      </c>
    </row>
    <row r="24" ht="22" customHeight="1">
      <c r="A24" s="66" t="n">
        <v>246</v>
      </c>
      <c r="B24" s="51" t="inlineStr">
        <is>
          <t>gate_18</t>
        </is>
      </c>
      <c r="C24" s="56" t="inlineStr">
        <is>
          <t>普通强化门</t>
        </is>
      </c>
      <c r="D24" s="57" t="inlineStr">
        <is>
          <t>普通强化门，请求后仍受安全生成距离约束</t>
        </is>
      </c>
      <c r="E24" s="63">
        <f>ROUND(IF(A24&lt;='配置'!$B$6,'配置'!$B$4+('配置'!$B$5-'配置'!$B$4)*POWER(MIN(MAX(A24/'配置'!$B$6,0),1),'配置'!$B$7),'配置'!$B$5+('配置'!$B$8-'配置'!$B$5)*POWER(MIN(MAX((A24-'配置'!$B$6)/('配置'!$B$9-'配置'!$B$6),0),1),'配置'!$B$10)),0)</f>
        <v/>
      </c>
      <c r="F24" s="64">
        <f>ROUND(E24,0)</f>
        <v/>
      </c>
      <c r="G24" s="64">
        <f>ROUND(E24*2,0)</f>
        <v/>
      </c>
      <c r="H24" s="64">
        <f>ROUND(E24*0.75,0)</f>
        <v/>
      </c>
      <c r="I24" s="64">
        <f>ROUND(E24*1.5,0)</f>
        <v/>
      </c>
      <c r="J24" s="64">
        <f>ROUND(E24*1.5,0)</f>
        <v/>
      </c>
      <c r="K24" s="64">
        <f>ROUND(E24*3,0)</f>
        <v/>
      </c>
      <c r="L24" s="64">
        <f>ROUND(E24*5.625,0)</f>
        <v/>
      </c>
      <c r="M24" s="64">
        <f>ROUND(E24,0)</f>
        <v/>
      </c>
      <c r="N24" s="65">
        <f>ROUND(E24*2,0)</f>
        <v/>
      </c>
    </row>
    <row r="25" ht="22" customHeight="1">
      <c r="A25" s="66" t="n">
        <v>258</v>
      </c>
      <c r="B25" s="51" t="inlineStr">
        <is>
          <t>gate_19</t>
        </is>
      </c>
      <c r="C25" s="56" t="inlineStr">
        <is>
          <t>普通强化门</t>
        </is>
      </c>
      <c r="D25" s="57" t="inlineStr">
        <is>
          <t>普通强化门，请求后仍受安全生成距离约束</t>
        </is>
      </c>
      <c r="E25" s="63">
        <f>ROUND(IF(A25&lt;='配置'!$B$6,'配置'!$B$4+('配置'!$B$5-'配置'!$B$4)*POWER(MIN(MAX(A25/'配置'!$B$6,0),1),'配置'!$B$7),'配置'!$B$5+('配置'!$B$8-'配置'!$B$5)*POWER(MIN(MAX((A25-'配置'!$B$6)/('配置'!$B$9-'配置'!$B$6),0),1),'配置'!$B$10)),0)</f>
        <v/>
      </c>
      <c r="F25" s="64">
        <f>ROUND(E25,0)</f>
        <v/>
      </c>
      <c r="G25" s="64">
        <f>ROUND(E25*2,0)</f>
        <v/>
      </c>
      <c r="H25" s="64">
        <f>ROUND(E25*0.75,0)</f>
        <v/>
      </c>
      <c r="I25" s="64">
        <f>ROUND(E25*1.5,0)</f>
        <v/>
      </c>
      <c r="J25" s="64">
        <f>ROUND(E25*1.5,0)</f>
        <v/>
      </c>
      <c r="K25" s="64">
        <f>ROUND(E25*3,0)</f>
        <v/>
      </c>
      <c r="L25" s="64">
        <f>ROUND(E25*5.625,0)</f>
        <v/>
      </c>
      <c r="M25" s="64">
        <f>ROUND(E25,0)</f>
        <v/>
      </c>
      <c r="N25" s="65">
        <f>ROUND(E25*2,0)</f>
        <v/>
      </c>
    </row>
    <row r="26" ht="22" customHeight="1">
      <c r="A26" s="66" t="n">
        <v>270</v>
      </c>
      <c r="B26" s="51" t="inlineStr">
        <is>
          <t>boss</t>
        </is>
      </c>
      <c r="C26" s="56" t="inlineStr">
        <is>
          <t>Boss</t>
        </is>
      </c>
      <c r="D26" s="57" t="inlineStr">
        <is>
          <t>Boss检查；满足后进入第四次特殊选择</t>
        </is>
      </c>
      <c r="E26" s="63">
        <f>ROUND(IF(A26&lt;='配置'!$B$6,'配置'!$B$4+('配置'!$B$5-'配置'!$B$4)*POWER(MIN(MAX(A26/'配置'!$B$6,0),1),'配置'!$B$7),'配置'!$B$5+('配置'!$B$8-'配置'!$B$5)*POWER(MIN(MAX((A26-'配置'!$B$6)/('配置'!$B$9-'配置'!$B$6),0),1),'配置'!$B$10)),0)</f>
        <v/>
      </c>
      <c r="F26" s="64">
        <f>ROUND(E26,0)</f>
        <v/>
      </c>
      <c r="G26" s="64">
        <f>ROUND(E26*2,0)</f>
        <v/>
      </c>
      <c r="H26" s="64">
        <f>ROUND(E26*0.75,0)</f>
        <v/>
      </c>
      <c r="I26" s="64">
        <f>ROUND(E26*1.5,0)</f>
        <v/>
      </c>
      <c r="J26" s="64">
        <f>ROUND(E26*1.5,0)</f>
        <v/>
      </c>
      <c r="K26" s="64">
        <f>ROUND(E26*3,0)</f>
        <v/>
      </c>
      <c r="L26" s="64">
        <f>ROUND(E26*5.625,0)</f>
        <v/>
      </c>
      <c r="M26" s="64">
        <f>ROUND(E26,0)</f>
        <v/>
      </c>
      <c r="N26" s="65">
        <f>ROUND(E26*2,0)</f>
        <v/>
      </c>
    </row>
    <row r="27" ht="22" customHeight="1">
      <c r="A27" s="66" t="n">
        <v>322</v>
      </c>
      <c r="B27" s="51" t="inlineStr">
        <is>
          <t>gate_20</t>
        </is>
      </c>
      <c r="C27" s="56" t="inlineStr">
        <is>
          <t>普通强化门</t>
        </is>
      </c>
      <c r="D27" s="57" t="inlineStr">
        <is>
          <t>Boss后复跑门；立即验证第四次特殊强化</t>
        </is>
      </c>
      <c r="E27" s="63">
        <f>ROUND(IF(A27&lt;='配置'!$B$6,'配置'!$B$4+('配置'!$B$5-'配置'!$B$4)*POWER(MIN(MAX(A27/'配置'!$B$6,0),1),'配置'!$B$7),'配置'!$B$5+('配置'!$B$8-'配置'!$B$5)*POWER(MIN(MAX((A27-'配置'!$B$6)/('配置'!$B$9-'配置'!$B$6),0),1),'配置'!$B$10)),0)</f>
        <v/>
      </c>
      <c r="F27" s="64">
        <f>ROUND(E27,0)</f>
        <v/>
      </c>
      <c r="G27" s="64">
        <f>ROUND(E27*2,0)</f>
        <v/>
      </c>
      <c r="H27" s="64">
        <f>ROUND(E27*0.75,0)</f>
        <v/>
      </c>
      <c r="I27" s="64">
        <f>ROUND(E27*1.5,0)</f>
        <v/>
      </c>
      <c r="J27" s="64">
        <f>ROUND(E27*1.5,0)</f>
        <v/>
      </c>
      <c r="K27" s="64">
        <f>ROUND(E27*3,0)</f>
        <v/>
      </c>
      <c r="L27" s="64">
        <f>ROUND(E27*5.625,0)</f>
        <v/>
      </c>
      <c r="M27" s="64">
        <f>ROUND(E27,0)</f>
        <v/>
      </c>
      <c r="N27" s="65">
        <f>ROUND(E27*2,0)</f>
        <v/>
      </c>
    </row>
    <row r="28" ht="22" customHeight="1">
      <c r="A28" s="66" t="n">
        <v>332</v>
      </c>
      <c r="B28" s="51" t="inlineStr">
        <is>
          <t>gate_21</t>
        </is>
      </c>
      <c r="C28" s="56" t="inlineStr">
        <is>
          <t>普通强化门</t>
        </is>
      </c>
      <c r="D28" s="57" t="inlineStr">
        <is>
          <t>Boss后复跑门；立即验证第四次特殊强化</t>
        </is>
      </c>
      <c r="E28" s="63">
        <f>ROUND(IF(A28&lt;='配置'!$B$6,'配置'!$B$4+('配置'!$B$5-'配置'!$B$4)*POWER(MIN(MAX(A28/'配置'!$B$6,0),1),'配置'!$B$7),'配置'!$B$5+('配置'!$B$8-'配置'!$B$5)*POWER(MIN(MAX((A28-'配置'!$B$6)/('配置'!$B$9-'配置'!$B$6),0),1),'配置'!$B$10)),0)</f>
        <v/>
      </c>
      <c r="F28" s="64">
        <f>ROUND(E28,0)</f>
        <v/>
      </c>
      <c r="G28" s="64">
        <f>ROUND(E28*2,0)</f>
        <v/>
      </c>
      <c r="H28" s="64">
        <f>ROUND(E28*0.75,0)</f>
        <v/>
      </c>
      <c r="I28" s="64">
        <f>ROUND(E28*1.5,0)</f>
        <v/>
      </c>
      <c r="J28" s="64">
        <f>ROUND(E28*1.5,0)</f>
        <v/>
      </c>
      <c r="K28" s="64">
        <f>ROUND(E28*3,0)</f>
        <v/>
      </c>
      <c r="L28" s="64">
        <f>ROUND(E28*5.625,0)</f>
        <v/>
      </c>
      <c r="M28" s="64">
        <f>ROUND(E28,0)</f>
        <v/>
      </c>
      <c r="N28" s="65">
        <f>ROUND(E28*2,0)</f>
        <v/>
      </c>
    </row>
    <row r="29" ht="22" customHeight="1">
      <c r="A29" s="66" t="n">
        <v>342</v>
      </c>
      <c r="B29" s="51" t="inlineStr">
        <is>
          <t>gate_22</t>
        </is>
      </c>
      <c r="C29" s="56" t="inlineStr">
        <is>
          <t>普通强化门</t>
        </is>
      </c>
      <c r="D29" s="57" t="inlineStr">
        <is>
          <t>Boss后复跑门；立即验证第四次特殊强化</t>
        </is>
      </c>
      <c r="E29" s="63">
        <f>ROUND(IF(A29&lt;='配置'!$B$6,'配置'!$B$4+('配置'!$B$5-'配置'!$B$4)*POWER(MIN(MAX(A29/'配置'!$B$6,0),1),'配置'!$B$7),'配置'!$B$5+('配置'!$B$8-'配置'!$B$5)*POWER(MIN(MAX((A29-'配置'!$B$6)/('配置'!$B$9-'配置'!$B$6),0),1),'配置'!$B$10)),0)</f>
        <v/>
      </c>
      <c r="F29" s="64">
        <f>ROUND(E29,0)</f>
        <v/>
      </c>
      <c r="G29" s="64">
        <f>ROUND(E29*2,0)</f>
        <v/>
      </c>
      <c r="H29" s="64">
        <f>ROUND(E29*0.75,0)</f>
        <v/>
      </c>
      <c r="I29" s="64">
        <f>ROUND(E29*1.5,0)</f>
        <v/>
      </c>
      <c r="J29" s="64">
        <f>ROUND(E29*1.5,0)</f>
        <v/>
      </c>
      <c r="K29" s="64">
        <f>ROUND(E29*3,0)</f>
        <v/>
      </c>
      <c r="L29" s="64">
        <f>ROUND(E29*5.625,0)</f>
        <v/>
      </c>
      <c r="M29" s="64">
        <f>ROUND(E29,0)</f>
        <v/>
      </c>
      <c r="N29" s="65">
        <f>ROUND(E29*2,0)</f>
        <v/>
      </c>
    </row>
    <row r="30" ht="22" customHeight="1">
      <c r="A30" s="66" t="n">
        <v>352</v>
      </c>
      <c r="B30" s="51" t="inlineStr">
        <is>
          <t>gate_23</t>
        </is>
      </c>
      <c r="C30" s="56" t="inlineStr">
        <is>
          <t>普通强化门</t>
        </is>
      </c>
      <c r="D30" s="57" t="inlineStr">
        <is>
          <t>Boss后复跑门；立即验证第四次特殊强化</t>
        </is>
      </c>
      <c r="E30" s="63">
        <f>ROUND(IF(A30&lt;='配置'!$B$6,'配置'!$B$4+('配置'!$B$5-'配置'!$B$4)*POWER(MIN(MAX(A30/'配置'!$B$6,0),1),'配置'!$B$7),'配置'!$B$5+('配置'!$B$8-'配置'!$B$5)*POWER(MIN(MAX((A30-'配置'!$B$6)/('配置'!$B$9-'配置'!$B$6),0),1),'配置'!$B$10)),0)</f>
        <v/>
      </c>
      <c r="F30" s="64">
        <f>ROUND(E30,0)</f>
        <v/>
      </c>
      <c r="G30" s="64">
        <f>ROUND(E30*2,0)</f>
        <v/>
      </c>
      <c r="H30" s="64">
        <f>ROUND(E30*0.75,0)</f>
        <v/>
      </c>
      <c r="I30" s="64">
        <f>ROUND(E30*1.5,0)</f>
        <v/>
      </c>
      <c r="J30" s="64">
        <f>ROUND(E30*1.5,0)</f>
        <v/>
      </c>
      <c r="K30" s="64">
        <f>ROUND(E30*3,0)</f>
        <v/>
      </c>
      <c r="L30" s="64">
        <f>ROUND(E30*5.625,0)</f>
        <v/>
      </c>
      <c r="M30" s="64">
        <f>ROUND(E30,0)</f>
        <v/>
      </c>
      <c r="N30" s="65">
        <f>ROUND(E30*2,0)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ColWidth="9" defaultRowHeight="14.39999961853027"/>
  <cols>
    <col width="18" customWidth="1" min="1" max="1"/>
    <col width="92" customWidth="1" min="2" max="2"/>
  </cols>
  <sheetData>
    <row r="1" ht="30" customHeight="1">
      <c r="A1" s="38" t="inlineStr">
        <is>
          <t>项目</t>
        </is>
      </c>
      <c r="B1" s="38" t="inlineStr">
        <is>
          <t>说明</t>
        </is>
      </c>
    </row>
    <row r="2" ht="42" customHeight="1">
      <c r="A2" s="2" t="inlineStr">
        <is>
          <t>推荐入口</t>
        </is>
      </c>
      <c r="B2" s="3" t="inlineStr">
        <is>
          <t>先看“时间轴预览”页；到“配置 / 事件”页修改黄色单元格。</t>
        </is>
      </c>
    </row>
    <row r="3" ht="42" customHeight="1">
      <c r="A3" s="4" t="inlineStr">
        <is>
          <t>生效方式</t>
        </is>
      </c>
      <c r="B3" s="5" t="inlineStr">
        <is>
          <t>保存并关闭工作簿后，重新开始本局或重新运行 run.tscn；游戏启动时直接读取此文件。</t>
        </is>
      </c>
    </row>
    <row r="4" ht="42" customHeight="1">
      <c r="A4" s="4" t="inlineStr">
        <is>
          <t>颜色含义</t>
        </is>
      </c>
      <c r="B4" s="5" t="inlineStr">
        <is>
          <t>黄色是人工输入；蓝色是联动公式；绿色是说明或分类。</t>
        </is>
      </c>
    </row>
    <row r="5" ht="42" customHeight="1">
      <c r="A5" s="4" t="inlineStr">
        <is>
          <t>输入规则</t>
        </is>
      </c>
      <c r="B5" s="5" t="inlineStr">
        <is>
          <t>关键参数和事件时间必须填写常量，不要在黄色输入格使用公式。</t>
        </is>
      </c>
    </row>
    <row r="6" ht="42" customHeight="1">
      <c r="A6" s="4" t="inlineStr">
        <is>
          <t>事件顺序</t>
        </is>
      </c>
      <c r="B6" s="5" t="inlineStr">
        <is>
          <t>事件按行顺序读取，请求时间必须从小到大或相等，事件ID不能为空。</t>
        </is>
      </c>
    </row>
    <row r="7" ht="42" customHeight="1">
      <c r="A7" s="4" t="inlineStr">
        <is>
          <t>预览范围</t>
        </is>
      </c>
      <c r="B7" s="5" t="inlineStr">
        <is>
          <t>食客与门的数字用于观察压力；曲线预览覆盖0～270秒，普通波次起止、阈值和三段间隔由配置页决定。</t>
        </is>
      </c>
    </row>
    <row r="8" ht="42" customHeight="1">
      <c r="A8" s="4" t="inlineStr">
        <is>
          <t>失败回退</t>
        </is>
      </c>
      <c r="B8" s="5" t="inlineStr">
        <is>
          <t>文件缺失、结构不符或数据非法时，游戏使用 data/timelines/vertical_slice.tres 并打印警告。</t>
        </is>
      </c>
    </row>
    <row r="9" ht="42" customHeight="1">
      <c r="A9" s="4" t="inlineStr">
        <is>
          <t>结构保护</t>
        </is>
      </c>
      <c r="B9" s="5" t="inlineStr">
        <is>
          <t>schema_id 与 schema_version=2 用于防止旧结构或错误工作簿被当作当前时间轴读取。</t>
        </is>
      </c>
    </row>
    <row r="10" ht="42" customHeight="1">
      <c r="A10" s="6" t="inlineStr">
        <is>
          <t>临时文件</t>
        </is>
      </c>
      <c r="B10" s="7" t="inlineStr">
        <is>
          <t>Excel 打开时产生的 ~$*.xlsx 不会被游戏读取，也不应提交到 Git。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2026-07-28T15:22:45Z</dcterms:created>
  <dcterms:modified xmlns:dcterms="http://purl.org/dc/terms/" xmlns:xsi="http://www.w3.org/2001/XMLSchema-instance" xsi:type="dcterms:W3CDTF">2026-07-28T15:23:17Z</dcterms:modified>
</cp:coreProperties>
</file>